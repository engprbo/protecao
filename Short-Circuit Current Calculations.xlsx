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Design Individual Data\Rashad\BMR1\EE_Bank_APR.08, 2015_Original_54.2GB Data_BMR_New_ok1\CL_Calculations_FEB.27, 2017\SC_Isc. Cal_SAMPLE\Isc_IEC_60909_BMR_JAN.02, 2018\"/>
    </mc:Choice>
  </mc:AlternateContent>
  <bookViews>
    <workbookView xWindow="-15" yWindow="-15" windowWidth="22890" windowHeight="6570" tabRatio="851"/>
  </bookViews>
  <sheets>
    <sheet name="SHORT CIRCUIT CAL_ORIGINAL" sheetId="32" r:id="rId1"/>
    <sheet name="DATA_BASE" sheetId="33" r:id="rId2"/>
  </sheets>
  <definedNames>
    <definedName name="_xlnm.Print_Area" localSheetId="0">'SHORT CIRCUIT CAL_ORIGINAL'!$A$1:$AF$1747</definedName>
    <definedName name="_xlnm.Print_Titles" localSheetId="0">'SHORT CIRCUIT CAL_ORIGINAL'!$1:$7</definedName>
    <definedName name="Z_5325D781_7AF9_11D2_955D_00A0247FCC6C_.wvu.Cols" localSheetId="0" hidden="1">'SHORT CIRCUIT CAL_ORIGINAL'!$AG:$AI</definedName>
    <definedName name="Z_5325D781_7AF9_11D2_955D_00A0247FCC6C_.wvu.PrintArea" localSheetId="0" hidden="1">'SHORT CIRCUIT CAL_ORIGINAL'!$B$1:$AE$1747</definedName>
    <definedName name="Z_5325D781_7AF9_11D2_955D_00A0247FCC6C_.wvu.PrintTitles" localSheetId="0" hidden="1">'SHORT CIRCUIT CAL_ORIGINAL'!$1:$7</definedName>
    <definedName name="Z_5325D782_7AF9_11D2_955D_00A0247FCC6C_.wvu.Cols" localSheetId="0" hidden="1">'SHORT CIRCUIT CAL_ORIGINAL'!$AG:$AI</definedName>
    <definedName name="Z_5325D782_7AF9_11D2_955D_00A0247FCC6C_.wvu.PrintArea" localSheetId="0" hidden="1">'SHORT CIRCUIT CAL_ORIGINAL'!$B$1:$AE$1747</definedName>
    <definedName name="Z_5325D782_7AF9_11D2_955D_00A0247FCC6C_.wvu.PrintTitles" localSheetId="0" hidden="1">'SHORT CIRCUIT CAL_ORIGINAL'!$1:$7</definedName>
    <definedName name="Z_DAD417EB_852B_48F4_BCCD_C6352C885713_.wvu.Cols" localSheetId="0" hidden="1">'SHORT CIRCUIT CAL_ORIGINAL'!$AG:$AJ</definedName>
    <definedName name="Z_DAD417EB_852B_48F4_BCCD_C6352C885713_.wvu.PrintArea" localSheetId="0" hidden="1">'SHORT CIRCUIT CAL_ORIGINAL'!$B$1:$AF$1440</definedName>
    <definedName name="Z_DAD417EB_852B_48F4_BCCD_C6352C885713_.wvu.PrintTitles" localSheetId="0" hidden="1">'SHORT CIRCUIT CAL_ORIGINAL'!$1:$7</definedName>
    <definedName name="Z_DAD417EB_852B_48F4_BCCD_C6352C885713_.wvu.Rows" localSheetId="0" hidden="1">'SHORT CIRCUIT CAL_ORIGINAL'!$96:$1747</definedName>
  </definedNames>
  <calcPr calcId="152511"/>
  <customWorkbookViews>
    <customWorkbookView name="Rashad Engr - Personal View" guid="{DAD417EB-852B-48F4-BCCD-C6352C885713}" mergeInterval="0" personalView="1" xWindow="3" yWindow="43" windowWidth="1900" windowHeight="506" tabRatio="869" activeSheetId="32"/>
    <customWorkbookView name="zoom" guid="{5325D781-7AF9-11D2-955D-00A0247FCC6C}" maximized="1" windowWidth="636" windowHeight="346" tabRatio="1000" activeSheetId="27"/>
    <customWorkbookView name="undo" guid="{5325D782-7AF9-11D2-955D-00A0247FCC6C}" maximized="1" windowWidth="636" windowHeight="372" tabRatio="1000" activeSheetId="27"/>
  </customWorkbookViews>
</workbook>
</file>

<file path=xl/calcChain.xml><?xml version="1.0" encoding="utf-8"?>
<calcChain xmlns="http://schemas.openxmlformats.org/spreadsheetml/2006/main">
  <c r="Q61" i="32" l="1"/>
  <c r="N61" i="32" s="1"/>
  <c r="N91" i="32"/>
  <c r="N86" i="32"/>
  <c r="N81" i="32"/>
  <c r="N76" i="32"/>
  <c r="Q91" i="32"/>
  <c r="Q86" i="32"/>
  <c r="Q81" i="32"/>
  <c r="Q76" i="32"/>
  <c r="P115" i="32"/>
  <c r="P390" i="32"/>
  <c r="P774" i="32"/>
  <c r="P880" i="32"/>
  <c r="P1072" i="32"/>
  <c r="P1264" i="32"/>
  <c r="L63" i="32"/>
  <c r="X61" i="32" s="1"/>
  <c r="L70" i="32"/>
  <c r="N66" i="32" s="1"/>
  <c r="Q66" i="32" s="1"/>
  <c r="N129" i="32"/>
  <c r="N132" i="32" s="1"/>
  <c r="V129" i="32"/>
  <c r="N130" i="32"/>
  <c r="N139" i="32"/>
  <c r="N142" i="32"/>
  <c r="S151" i="32" s="1"/>
  <c r="V139" i="32"/>
  <c r="N140" i="32"/>
  <c r="S162" i="32"/>
  <c r="N163" i="32"/>
  <c r="S173" i="32"/>
  <c r="N174" i="32"/>
  <c r="M206" i="32"/>
  <c r="N209" i="32"/>
  <c r="S219" i="32" s="1"/>
  <c r="N230" i="32"/>
  <c r="N321" i="32"/>
  <c r="V321" i="32"/>
  <c r="N322" i="32"/>
  <c r="N331" i="32"/>
  <c r="V331" i="32"/>
  <c r="N334" i="32" s="1"/>
  <c r="N332" i="32"/>
  <c r="S354" i="32"/>
  <c r="N355" i="32"/>
  <c r="S366" i="32"/>
  <c r="N367" i="32"/>
  <c r="M399" i="32"/>
  <c r="N402" i="32" s="1"/>
  <c r="N423" i="32"/>
  <c r="O489" i="32"/>
  <c r="N513" i="32"/>
  <c r="V513" i="32"/>
  <c r="N514" i="32"/>
  <c r="N516" i="32" s="1"/>
  <c r="N523" i="32"/>
  <c r="N526" i="32" s="1"/>
  <c r="V523" i="32"/>
  <c r="N524" i="32"/>
  <c r="S546" i="32"/>
  <c r="N547" i="32"/>
  <c r="S557" i="32"/>
  <c r="N558" i="32"/>
  <c r="M590" i="32"/>
  <c r="N593" i="32"/>
  <c r="S603" i="32" s="1"/>
  <c r="N614" i="32"/>
  <c r="N705" i="32"/>
  <c r="N708" i="32" s="1"/>
  <c r="V705" i="32"/>
  <c r="N706" i="32"/>
  <c r="N715" i="32"/>
  <c r="N718" i="32" s="1"/>
  <c r="V715" i="32"/>
  <c r="N716" i="32"/>
  <c r="S738" i="32"/>
  <c r="N739" i="32"/>
  <c r="S749" i="32"/>
  <c r="N750" i="32"/>
  <c r="M783" i="32"/>
  <c r="N786" i="32"/>
  <c r="N807" i="32"/>
  <c r="N897" i="32"/>
  <c r="V897" i="32"/>
  <c r="N898" i="32"/>
  <c r="N907" i="32"/>
  <c r="V907" i="32"/>
  <c r="N908" i="32"/>
  <c r="S930" i="32"/>
  <c r="N931" i="32"/>
  <c r="S941" i="32"/>
  <c r="N942" i="32"/>
  <c r="M974" i="32"/>
  <c r="N977" i="32" s="1"/>
  <c r="N998" i="32"/>
  <c r="O1064" i="32"/>
  <c r="N1089" i="32"/>
  <c r="N1092" i="32"/>
  <c r="N1111" i="32" s="1"/>
  <c r="V1089" i="32"/>
  <c r="N1090" i="32"/>
  <c r="N1099" i="32"/>
  <c r="N1102" i="32" s="1"/>
  <c r="V1099" i="32"/>
  <c r="N1100" i="32"/>
  <c r="S1122" i="32"/>
  <c r="N1123" i="32"/>
  <c r="S1133" i="32"/>
  <c r="N1134" i="32"/>
  <c r="M1166" i="32"/>
  <c r="N1169" i="32" s="1"/>
  <c r="N1190" i="32"/>
  <c r="O1256" i="32"/>
  <c r="N1281" i="32"/>
  <c r="N1284" i="32" s="1"/>
  <c r="V1281" i="32"/>
  <c r="N1282" i="32"/>
  <c r="N1291" i="32"/>
  <c r="N1294" i="32" s="1"/>
  <c r="V1291" i="32"/>
  <c r="N1292" i="32"/>
  <c r="S1314" i="32"/>
  <c r="N1315" i="32"/>
  <c r="S1325" i="32"/>
  <c r="N1326" i="32"/>
  <c r="M1358" i="32"/>
  <c r="N1361" i="32"/>
  <c r="N1382" i="32"/>
  <c r="O296" i="32"/>
  <c r="O105" i="32"/>
  <c r="O872" i="32"/>
  <c r="O681" i="32"/>
  <c r="V492" i="32"/>
  <c r="V108" i="32"/>
  <c r="V1067" i="32"/>
  <c r="V683" i="32"/>
  <c r="V300" i="32"/>
  <c r="V875" i="32"/>
  <c r="V1259" i="32"/>
  <c r="H1157" i="32"/>
  <c r="K774" i="32"/>
  <c r="K390" i="32"/>
  <c r="H581" i="32"/>
  <c r="O689" i="32"/>
  <c r="U390" i="32"/>
  <c r="R1157" i="32"/>
  <c r="R1349" i="32"/>
  <c r="R581" i="32"/>
  <c r="R965" i="32"/>
  <c r="U774" i="32"/>
  <c r="O307" i="32"/>
  <c r="O497" i="32"/>
  <c r="O113" i="32"/>
  <c r="R197" i="32"/>
  <c r="H197" i="32"/>
  <c r="H1349" i="32"/>
  <c r="H965" i="32"/>
  <c r="O303" i="32"/>
  <c r="O685" i="32"/>
  <c r="M197" i="32"/>
  <c r="O110" i="32"/>
  <c r="O877" i="32"/>
  <c r="M1349" i="32"/>
  <c r="M1157" i="32"/>
  <c r="M965" i="32"/>
  <c r="M581" i="32"/>
  <c r="O1261" i="32"/>
  <c r="O494" i="32"/>
  <c r="O1069" i="32"/>
  <c r="N324" i="32"/>
  <c r="N354" i="32" s="1"/>
  <c r="N357" i="32" s="1"/>
  <c r="N379" i="32" s="1"/>
  <c r="N910" i="32"/>
  <c r="N941" i="32"/>
  <c r="N944" i="32" s="1"/>
  <c r="S955" i="32" s="1"/>
  <c r="S1370" i="32"/>
  <c r="S1371" i="32"/>
  <c r="S796" i="32"/>
  <c r="S795" i="32"/>
  <c r="N900" i="32"/>
  <c r="N919" i="32" s="1"/>
  <c r="N922" i="32" s="1"/>
  <c r="S919" i="32"/>
  <c r="N343" i="32"/>
  <c r="S1179" i="32" l="1"/>
  <c r="S1178" i="32"/>
  <c r="N535" i="32"/>
  <c r="N546" i="32"/>
  <c r="N549" i="32" s="1"/>
  <c r="N571" i="32" s="1"/>
  <c r="N557" i="32"/>
  <c r="N560" i="32" s="1"/>
  <c r="S571" i="32" s="1"/>
  <c r="S535" i="32"/>
  <c r="T76" i="32"/>
  <c r="T66" i="32"/>
  <c r="T86" i="32"/>
  <c r="T81" i="32"/>
  <c r="T91" i="32"/>
  <c r="N1325" i="32"/>
  <c r="N1328" i="32" s="1"/>
  <c r="S1339" i="32" s="1"/>
  <c r="S1303" i="32"/>
  <c r="N749" i="32"/>
  <c r="N752" i="32" s="1"/>
  <c r="S763" i="32" s="1"/>
  <c r="S727" i="32"/>
  <c r="N1133" i="32"/>
  <c r="N1136" i="32" s="1"/>
  <c r="S1147" i="32" s="1"/>
  <c r="S1111" i="32"/>
  <c r="N1114" i="32" s="1"/>
  <c r="N366" i="32"/>
  <c r="N369" i="32" s="1"/>
  <c r="S379" i="32" s="1"/>
  <c r="N382" i="32" s="1"/>
  <c r="S343" i="32"/>
  <c r="N1303" i="32"/>
  <c r="N1314" i="32"/>
  <c r="N1317" i="32" s="1"/>
  <c r="N1339" i="32" s="1"/>
  <c r="N1342" i="32" s="1"/>
  <c r="Z1349" i="32" s="1"/>
  <c r="N727" i="32"/>
  <c r="N730" i="32" s="1"/>
  <c r="N738" i="32"/>
  <c r="N741" i="32" s="1"/>
  <c r="N763" i="32" s="1"/>
  <c r="N766" i="32" s="1"/>
  <c r="S411" i="32"/>
  <c r="S412" i="32"/>
  <c r="N151" i="32"/>
  <c r="N154" i="32" s="1"/>
  <c r="N162" i="32"/>
  <c r="N165" i="32" s="1"/>
  <c r="N187" i="32" s="1"/>
  <c r="N346" i="32"/>
  <c r="S986" i="32"/>
  <c r="S987" i="32"/>
  <c r="V76" i="32"/>
  <c r="V91" i="32"/>
  <c r="V66" i="32"/>
  <c r="N930" i="32"/>
  <c r="N933" i="32" s="1"/>
  <c r="N955" i="32" s="1"/>
  <c r="N958" i="32" s="1"/>
  <c r="Z965" i="32" s="1"/>
  <c r="H966" i="32" s="1"/>
  <c r="V81" i="32"/>
  <c r="N1122" i="32"/>
  <c r="N1125" i="32" s="1"/>
  <c r="N1147" i="32" s="1"/>
  <c r="N1150" i="32" s="1"/>
  <c r="Z1157" i="32" s="1"/>
  <c r="N173" i="32"/>
  <c r="N176" i="32" s="1"/>
  <c r="S187" i="32" s="1"/>
  <c r="S602" i="32"/>
  <c r="V86" i="32"/>
  <c r="S218" i="32"/>
  <c r="X81" i="32" l="1"/>
  <c r="X390" i="32"/>
  <c r="K391" i="32" s="1"/>
  <c r="P499" i="32"/>
  <c r="V1349" i="32"/>
  <c r="H1350" i="32" s="1"/>
  <c r="X774" i="32"/>
  <c r="K775" i="32" s="1"/>
  <c r="P882" i="32"/>
  <c r="P1266" i="32"/>
  <c r="V1157" i="32"/>
  <c r="H1158" i="32" s="1"/>
  <c r="P1074" i="32"/>
  <c r="X91" i="32"/>
  <c r="X86" i="32"/>
  <c r="N574" i="32"/>
  <c r="Z581" i="32" s="1"/>
  <c r="H582" i="32" s="1"/>
  <c r="X66" i="32"/>
  <c r="N538" i="32"/>
  <c r="N987" i="32"/>
  <c r="N986" i="32"/>
  <c r="N989" i="32" s="1"/>
  <c r="N999" i="32" s="1"/>
  <c r="O1001" i="32" s="1"/>
  <c r="N1018" i="32" s="1"/>
  <c r="O1021" i="32" s="1"/>
  <c r="N1306" i="32"/>
  <c r="X76" i="32"/>
  <c r="N190" i="32"/>
  <c r="Z197" i="32" s="1"/>
  <c r="H198" i="32" s="1"/>
  <c r="N1179" i="32" l="1"/>
  <c r="N1178" i="32"/>
  <c r="N1181" i="32" s="1"/>
  <c r="N1191" i="32" s="1"/>
  <c r="O1193" i="32" s="1"/>
  <c r="N1210" i="32" s="1"/>
  <c r="O1213" i="32" s="1"/>
  <c r="N796" i="32"/>
  <c r="N795" i="32"/>
  <c r="N798" i="32" s="1"/>
  <c r="N808" i="32" s="1"/>
  <c r="O810" i="32" s="1"/>
  <c r="N826" i="32" s="1"/>
  <c r="O829" i="32" s="1"/>
  <c r="N603" i="32"/>
  <c r="N602" i="32"/>
  <c r="N605" i="32" s="1"/>
  <c r="N615" i="32" s="1"/>
  <c r="O617" i="32" s="1"/>
  <c r="N634" i="32" s="1"/>
  <c r="O637" i="32" s="1"/>
  <c r="N1370" i="32"/>
  <c r="N1373" i="32" s="1"/>
  <c r="N1383" i="32" s="1"/>
  <c r="O1385" i="32" s="1"/>
  <c r="N1402" i="32" s="1"/>
  <c r="O1405" i="32" s="1"/>
  <c r="N1371" i="32"/>
  <c r="N219" i="32"/>
  <c r="N218" i="32"/>
  <c r="N221" i="32" s="1"/>
  <c r="N231" i="32" s="1"/>
  <c r="O233" i="32" s="1"/>
  <c r="N250" i="32" s="1"/>
  <c r="O253" i="32" s="1"/>
  <c r="N412" i="32"/>
  <c r="N411" i="32"/>
  <c r="N414" i="32" s="1"/>
  <c r="N424" i="32" s="1"/>
  <c r="O426" i="32" s="1"/>
  <c r="N442" i="32" s="1"/>
  <c r="O445" i="32" s="1"/>
</calcChain>
</file>

<file path=xl/sharedStrings.xml><?xml version="1.0" encoding="utf-8"?>
<sst xmlns="http://schemas.openxmlformats.org/spreadsheetml/2006/main" count="1393" uniqueCount="309">
  <si>
    <t xml:space="preserve"> </t>
  </si>
  <si>
    <t>=</t>
  </si>
  <si>
    <t>Where :</t>
  </si>
  <si>
    <t>2.2</t>
  </si>
  <si>
    <t>2.3</t>
  </si>
  <si>
    <t>2.1</t>
  </si>
  <si>
    <t>1.0</t>
  </si>
  <si>
    <t>2.0</t>
  </si>
  <si>
    <t>+</t>
  </si>
  <si>
    <r>
      <t>Z</t>
    </r>
    <r>
      <rPr>
        <vertAlign val="subscript"/>
        <sz val="9"/>
        <rFont val="Arial"/>
        <family val="2"/>
      </rPr>
      <t>L7C</t>
    </r>
  </si>
  <si>
    <t>F7C</t>
  </si>
  <si>
    <t>(FAULT AT F7C PANELBOARD NRDB)</t>
  </si>
  <si>
    <t>CABLE IMPEDANCE (FOR LENGTH OF CABLE FROM MAIN BUS TO FAULT (F7C)</t>
  </si>
  <si>
    <r>
      <t>Z</t>
    </r>
    <r>
      <rPr>
        <vertAlign val="subscript"/>
        <sz val="9"/>
        <rFont val="Arial"/>
        <family val="2"/>
      </rPr>
      <t>PU-ZL7C(F7C)</t>
    </r>
  </si>
  <si>
    <r>
      <t>Total Impedance at (Z</t>
    </r>
    <r>
      <rPr>
        <vertAlign val="subscript"/>
        <sz val="9"/>
        <rFont val="Arial"/>
        <family val="2"/>
      </rPr>
      <t>L7C</t>
    </r>
    <r>
      <rPr>
        <sz val="9"/>
        <rFont val="Arial"/>
        <family val="2"/>
      </rPr>
      <t>) = Impedance to main bus+Impedance of cable</t>
    </r>
  </si>
  <si>
    <t>ISC AT FAULT CURRENT "F7C" AT NRDB</t>
  </si>
  <si>
    <r>
      <t>ISC</t>
    </r>
    <r>
      <rPr>
        <vertAlign val="subscript"/>
        <sz val="9"/>
        <rFont val="Arial"/>
        <family val="2"/>
      </rPr>
      <t>F7C(S)</t>
    </r>
  </si>
  <si>
    <r>
      <t>Z</t>
    </r>
    <r>
      <rPr>
        <vertAlign val="subscript"/>
        <sz val="9"/>
        <rFont val="Arial"/>
        <family val="2"/>
      </rPr>
      <t>PU-B(F7C)</t>
    </r>
  </si>
  <si>
    <r>
      <t>ISC</t>
    </r>
    <r>
      <rPr>
        <vertAlign val="subscript"/>
        <sz val="9"/>
        <rFont val="Arial"/>
        <family val="2"/>
      </rPr>
      <t>F7C(A)</t>
    </r>
  </si>
  <si>
    <t>X</t>
  </si>
  <si>
    <t>Z</t>
  </si>
  <si>
    <t>( a )</t>
  </si>
  <si>
    <t>( b )</t>
  </si>
  <si>
    <t>( c )</t>
  </si>
  <si>
    <t>( d )</t>
  </si>
  <si>
    <r>
      <t>Z</t>
    </r>
    <r>
      <rPr>
        <vertAlign val="subscript"/>
        <sz val="9"/>
        <rFont val="Arial"/>
        <family val="2"/>
      </rPr>
      <t>PU-ZL7B(F7B)</t>
    </r>
  </si>
  <si>
    <r>
      <t>ISC</t>
    </r>
    <r>
      <rPr>
        <vertAlign val="subscript"/>
        <sz val="9"/>
        <rFont val="Arial"/>
        <family val="2"/>
      </rPr>
      <t>F7B(S)</t>
    </r>
  </si>
  <si>
    <t>ISC AT FAULT CURRENT "F7B" AT NFDB</t>
  </si>
  <si>
    <r>
      <t>Z</t>
    </r>
    <r>
      <rPr>
        <vertAlign val="subscript"/>
        <sz val="9"/>
        <rFont val="Arial"/>
        <family val="2"/>
      </rPr>
      <t>PU-B(F7B)</t>
    </r>
  </si>
  <si>
    <r>
      <t>ISC</t>
    </r>
    <r>
      <rPr>
        <vertAlign val="subscript"/>
        <sz val="9"/>
        <rFont val="Arial"/>
        <family val="2"/>
      </rPr>
      <t>F7B(A)</t>
    </r>
  </si>
  <si>
    <t>CABLE IMPEDANCE (FOR LENGTH OF CABLE FROM MAIN BUS TO FAULT (F7B)</t>
  </si>
  <si>
    <t>Total per unit impedance thru fault F7B</t>
  </si>
  <si>
    <t>F7A1</t>
  </si>
  <si>
    <t>(FAULT AT F7A1 PANELBOARD NG1)</t>
  </si>
  <si>
    <r>
      <t>Z</t>
    </r>
    <r>
      <rPr>
        <vertAlign val="subscript"/>
        <sz val="9"/>
        <rFont val="Arial"/>
        <family val="2"/>
      </rPr>
      <t>L7A1</t>
    </r>
  </si>
  <si>
    <t>CABLE IMPEDANCE (FOR LENGTH OF CABLE FROM MAIN BUS TO FAULT (F7A1)</t>
  </si>
  <si>
    <r>
      <t>Total Impedance at (Z</t>
    </r>
    <r>
      <rPr>
        <vertAlign val="subscript"/>
        <sz val="9"/>
        <rFont val="Arial"/>
        <family val="2"/>
      </rPr>
      <t>L7A1</t>
    </r>
    <r>
      <rPr>
        <sz val="9"/>
        <rFont val="Arial"/>
        <family val="2"/>
      </rPr>
      <t>) = Impedance to main bus+Impedance of cable</t>
    </r>
  </si>
  <si>
    <r>
      <t>Z</t>
    </r>
    <r>
      <rPr>
        <vertAlign val="subscript"/>
        <sz val="9"/>
        <rFont val="Arial"/>
        <family val="2"/>
      </rPr>
      <t>PU-ZL7A1(F7A1)</t>
    </r>
  </si>
  <si>
    <t>Total per unit impedance thru fault F7A1</t>
  </si>
  <si>
    <r>
      <t>Z</t>
    </r>
    <r>
      <rPr>
        <vertAlign val="subscript"/>
        <sz val="9"/>
        <rFont val="Arial"/>
        <family val="2"/>
      </rPr>
      <t>PU-B(F7A1)</t>
    </r>
  </si>
  <si>
    <t>ISC AT FAULT CURRENT "F7A1" AT NG1</t>
  </si>
  <si>
    <r>
      <t>ISC</t>
    </r>
    <r>
      <rPr>
        <vertAlign val="subscript"/>
        <sz val="9"/>
        <rFont val="Arial"/>
        <family val="2"/>
      </rPr>
      <t>F7A1(S)</t>
    </r>
  </si>
  <si>
    <r>
      <t>ISC</t>
    </r>
    <r>
      <rPr>
        <vertAlign val="subscript"/>
        <sz val="9"/>
        <rFont val="Arial"/>
        <family val="2"/>
      </rPr>
      <t>F7A1(A)</t>
    </r>
  </si>
  <si>
    <t>USE   *   12 KA INTERRUPTING CAPACITY FOR MAIN BREAKER OF NG1</t>
  </si>
  <si>
    <t xml:space="preserve">               TYPICAL FROM NG1 TO NG11</t>
  </si>
  <si>
    <r>
      <t>Z</t>
    </r>
    <r>
      <rPr>
        <vertAlign val="subscript"/>
        <sz val="9"/>
        <rFont val="Arial"/>
        <family val="2"/>
      </rPr>
      <t>L7B1</t>
    </r>
  </si>
  <si>
    <t>F7B1</t>
  </si>
  <si>
    <t>(FAULT AT F7B1 PANELBOARD NF1)</t>
  </si>
  <si>
    <t>CABLE IMPEDANCE (FOR LENGTH OF CABLE FROM MAIN BUS TO FAULT (F7B1)</t>
  </si>
  <si>
    <r>
      <t>Z</t>
    </r>
    <r>
      <rPr>
        <vertAlign val="subscript"/>
        <sz val="9"/>
        <rFont val="Arial"/>
        <family val="2"/>
      </rPr>
      <t>PU-ZL7B1(F7B1)</t>
    </r>
  </si>
  <si>
    <r>
      <t>Z</t>
    </r>
    <r>
      <rPr>
        <vertAlign val="subscript"/>
        <sz val="9"/>
        <rFont val="Arial"/>
        <family val="2"/>
      </rPr>
      <t>PU-B(F7B1)</t>
    </r>
  </si>
  <si>
    <t>ISC AT FAULT CURRENT "F7B1" AT NF1</t>
  </si>
  <si>
    <r>
      <t>ISC</t>
    </r>
    <r>
      <rPr>
        <vertAlign val="subscript"/>
        <sz val="9"/>
        <rFont val="Arial"/>
        <family val="2"/>
      </rPr>
      <t>F7B1(S)</t>
    </r>
  </si>
  <si>
    <t>Total per unit impedance thru fault F7B1</t>
  </si>
  <si>
    <r>
      <t>Total Impedance at (Z</t>
    </r>
    <r>
      <rPr>
        <vertAlign val="subscript"/>
        <sz val="9"/>
        <rFont val="Arial"/>
        <family val="2"/>
      </rPr>
      <t>L7B1</t>
    </r>
    <r>
      <rPr>
        <sz val="9"/>
        <rFont val="Arial"/>
        <family val="2"/>
      </rPr>
      <t>) = Impedance to main bus+Impedance of cable</t>
    </r>
  </si>
  <si>
    <r>
      <t>ISC</t>
    </r>
    <r>
      <rPr>
        <vertAlign val="subscript"/>
        <sz val="9"/>
        <rFont val="Arial"/>
        <family val="2"/>
      </rPr>
      <t>F7B1(A)</t>
    </r>
  </si>
  <si>
    <t>USE   *   18 KA INTERRUPTING CAPACITY FOR MAIN BREAKER OF NF1</t>
  </si>
  <si>
    <t>Fault point</t>
  </si>
  <si>
    <t>( e )</t>
  </si>
  <si>
    <t>( f )</t>
  </si>
  <si>
    <r>
      <t>Z</t>
    </r>
    <r>
      <rPr>
        <vertAlign val="subscript"/>
        <sz val="9"/>
        <rFont val="Arial"/>
        <family val="2"/>
      </rPr>
      <t>L7B</t>
    </r>
  </si>
  <si>
    <t>F7B</t>
  </si>
  <si>
    <t>(FAULT AT F7B PANELBOARD NFDB)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</si>
  <si>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</si>
  <si>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IMPEDANCE DIAGRAM:</t>
  </si>
  <si>
    <t>TAKING INTO CONSIDERATION FOR ASYMMETRICAL</t>
  </si>
  <si>
    <r>
      <t>Z</t>
    </r>
    <r>
      <rPr>
        <vertAlign val="subscript"/>
        <sz val="9"/>
        <rFont val="Arial"/>
        <family val="2"/>
      </rPr>
      <t>L7</t>
    </r>
  </si>
  <si>
    <r>
      <t>Z</t>
    </r>
    <r>
      <rPr>
        <vertAlign val="subscript"/>
        <sz val="9"/>
        <rFont val="Arial"/>
        <family val="2"/>
      </rPr>
      <t>L7A</t>
    </r>
  </si>
  <si>
    <r>
      <t>Z</t>
    </r>
    <r>
      <rPr>
        <vertAlign val="subscript"/>
        <sz val="9"/>
        <rFont val="Arial"/>
        <family val="2"/>
      </rPr>
      <t>PU-ZL7A(F7A)</t>
    </r>
  </si>
  <si>
    <r>
      <t>Z</t>
    </r>
    <r>
      <rPr>
        <vertAlign val="subscript"/>
        <sz val="9"/>
        <rFont val="Arial"/>
        <family val="2"/>
      </rPr>
      <t>PU-ZL7</t>
    </r>
  </si>
  <si>
    <t xml:space="preserve">4 x motor kVA </t>
  </si>
  <si>
    <t>USE   *   35 KA INTERRUPTING CAPACITY FOR MAIN BREAKER OF NFDB</t>
  </si>
  <si>
    <t>KVA Base</t>
  </si>
  <si>
    <t>x</t>
  </si>
  <si>
    <t>Base Ampere</t>
  </si>
  <si>
    <t>Ampere</t>
  </si>
  <si>
    <t xml:space="preserve">CABLE SIZE IS </t>
  </si>
  <si>
    <t>METERS</t>
  </si>
  <si>
    <t>OHMS</t>
  </si>
  <si>
    <t>Total Impedance</t>
  </si>
  <si>
    <t>Rc</t>
  </si>
  <si>
    <t>Base kVA</t>
  </si>
  <si>
    <t>Xc</t>
  </si>
  <si>
    <t>Short Circuit Motor Contribution at 50%</t>
  </si>
  <si>
    <t>( g )</t>
  </si>
  <si>
    <t>( h )</t>
  </si>
  <si>
    <t>( i )</t>
  </si>
  <si>
    <t>IX</t>
  </si>
  <si>
    <r>
      <t>Z</t>
    </r>
    <r>
      <rPr>
        <vertAlign val="subscript"/>
        <sz val="9"/>
        <rFont val="Arial"/>
        <family val="2"/>
      </rPr>
      <t>S</t>
    </r>
  </si>
  <si>
    <r>
      <t>Z</t>
    </r>
    <r>
      <rPr>
        <vertAlign val="subscript"/>
        <sz val="9"/>
        <rFont val="Arial"/>
        <family val="2"/>
      </rPr>
      <t>T2</t>
    </r>
  </si>
  <si>
    <r>
      <t xml:space="preserve">Z </t>
    </r>
    <r>
      <rPr>
        <vertAlign val="subscript"/>
        <sz val="9"/>
        <rFont val="Arial"/>
        <family val="2"/>
      </rPr>
      <t>TRANSFORMER</t>
    </r>
    <r>
      <rPr>
        <sz val="9"/>
        <rFont val="Arial"/>
        <family val="2"/>
      </rPr>
      <t xml:space="preserve"> T2 @ 6% </t>
    </r>
  </si>
  <si>
    <r>
      <t>Z</t>
    </r>
    <r>
      <rPr>
        <vertAlign val="subscript"/>
        <sz val="9"/>
        <rFont val="Arial"/>
        <family val="2"/>
      </rPr>
      <t>PU-ZT</t>
    </r>
  </si>
  <si>
    <r>
      <t>Z</t>
    </r>
    <r>
      <rPr>
        <vertAlign val="subscript"/>
        <sz val="9"/>
        <rFont val="Arial"/>
        <family val="2"/>
      </rPr>
      <t>PU-ST</t>
    </r>
  </si>
  <si>
    <r>
      <t>Z</t>
    </r>
    <r>
      <rPr>
        <vertAlign val="subscript"/>
        <sz val="9"/>
        <rFont val="Arial"/>
        <family val="2"/>
      </rPr>
      <t>PU-M</t>
    </r>
  </si>
  <si>
    <r>
      <t>Z</t>
    </r>
    <r>
      <rPr>
        <vertAlign val="subscript"/>
        <sz val="9"/>
        <rFont val="Arial"/>
        <family val="2"/>
      </rPr>
      <t>L1</t>
    </r>
  </si>
  <si>
    <r>
      <t>(Z</t>
    </r>
    <r>
      <rPr>
        <vertAlign val="subscript"/>
        <sz val="9"/>
        <rFont val="Arial"/>
        <family val="2"/>
      </rPr>
      <t>PU-RC</t>
    </r>
    <r>
      <rPr>
        <sz val="9"/>
        <rFont val="Arial"/>
        <family val="2"/>
      </rPr>
      <t>)</t>
    </r>
    <r>
      <rPr>
        <vertAlign val="superscript"/>
        <sz val="9"/>
        <rFont val="Arial"/>
        <family val="2"/>
      </rPr>
      <t>2</t>
    </r>
  </si>
  <si>
    <r>
      <t>(Z</t>
    </r>
    <r>
      <rPr>
        <vertAlign val="subscript"/>
        <sz val="9"/>
        <rFont val="Arial"/>
        <family val="2"/>
      </rPr>
      <t>PU-XC</t>
    </r>
    <r>
      <rPr>
        <sz val="9"/>
        <rFont val="Arial"/>
        <family val="2"/>
      </rPr>
      <t>)</t>
    </r>
    <r>
      <rPr>
        <vertAlign val="superscript"/>
        <sz val="9"/>
        <rFont val="Arial"/>
        <family val="2"/>
      </rPr>
      <t>2</t>
    </r>
  </si>
  <si>
    <r>
      <t>Z</t>
    </r>
    <r>
      <rPr>
        <vertAlign val="subscript"/>
        <sz val="9"/>
        <rFont val="Arial"/>
        <family val="2"/>
      </rPr>
      <t>PU-RC</t>
    </r>
  </si>
  <si>
    <r>
      <t>(Base kV)</t>
    </r>
    <r>
      <rPr>
        <vertAlign val="superscript"/>
        <sz val="9"/>
        <rFont val="Arial"/>
        <family val="2"/>
      </rPr>
      <t>2</t>
    </r>
  </si>
  <si>
    <r>
      <t>Z</t>
    </r>
    <r>
      <rPr>
        <vertAlign val="subscript"/>
        <sz val="9"/>
        <rFont val="Arial"/>
        <family val="2"/>
      </rPr>
      <t>PU-XC</t>
    </r>
  </si>
  <si>
    <r>
      <t>Z</t>
    </r>
    <r>
      <rPr>
        <vertAlign val="subscript"/>
        <sz val="9"/>
        <rFont val="Arial"/>
        <family val="2"/>
      </rPr>
      <t>PU-ZL1</t>
    </r>
  </si>
  <si>
    <t>USE   *   42 KA INTERRUPTING CAPACITY FOR MAIN BREAKER OF NRDB</t>
  </si>
  <si>
    <t>USE   *   12 KA INTERRUPTING CAPACITY FOR MAIN BREAKER OF NR1</t>
  </si>
  <si>
    <t>USE   *   36 KA INTERRUPTING CAPACITY FOR MAIN BREAKER OF MCC-1</t>
  </si>
  <si>
    <t>USE   *   36 KA INTERRUPTING CAPACITY FOR MAIN BREAKER OF MCC-2</t>
  </si>
  <si>
    <r>
      <t>Z</t>
    </r>
    <r>
      <rPr>
        <vertAlign val="subscript"/>
        <sz val="9"/>
        <rFont val="Arial"/>
        <family val="2"/>
      </rPr>
      <t>L4A</t>
    </r>
  </si>
  <si>
    <t>Total per unit impedance thru fault F4A</t>
  </si>
  <si>
    <r>
      <t>Z</t>
    </r>
    <r>
      <rPr>
        <vertAlign val="subscript"/>
        <sz val="9"/>
        <rFont val="Arial"/>
        <family val="2"/>
      </rPr>
      <t>L7C1</t>
    </r>
  </si>
  <si>
    <t>F7C1</t>
  </si>
  <si>
    <t>CABLE IMPEDANCE (FOR LENGTH OF CABLE FROM MAIN BUS TO FAULT (F7C1)</t>
  </si>
  <si>
    <t>(FAULT AT F7C1 PANELBOARD NR1)</t>
  </si>
  <si>
    <r>
      <t>Z</t>
    </r>
    <r>
      <rPr>
        <vertAlign val="subscript"/>
        <sz val="9"/>
        <rFont val="Arial"/>
        <family val="2"/>
      </rPr>
      <t>PU-ZL7C1(F7C1)</t>
    </r>
  </si>
  <si>
    <r>
      <t>Total Impedance at (Z</t>
    </r>
    <r>
      <rPr>
        <vertAlign val="subscript"/>
        <sz val="9"/>
        <rFont val="Arial"/>
        <family val="2"/>
      </rPr>
      <t>L7C1</t>
    </r>
    <r>
      <rPr>
        <sz val="9"/>
        <rFont val="Arial"/>
        <family val="2"/>
      </rPr>
      <t>) = Impedance to main bus+Impedance of cable</t>
    </r>
  </si>
  <si>
    <r>
      <t>Z</t>
    </r>
    <r>
      <rPr>
        <vertAlign val="subscript"/>
        <sz val="9"/>
        <rFont val="Arial"/>
        <family val="2"/>
      </rPr>
      <t>PU-B(F7C1)</t>
    </r>
  </si>
  <si>
    <t>ISC AT FAULT CURRENT "F7C1" AT NR1</t>
  </si>
  <si>
    <r>
      <t>ISC</t>
    </r>
    <r>
      <rPr>
        <vertAlign val="subscript"/>
        <sz val="9"/>
        <rFont val="Arial"/>
        <family val="2"/>
      </rPr>
      <t>F7C1(S)</t>
    </r>
  </si>
  <si>
    <t>Total per unit impedance thru fault F7C1</t>
  </si>
  <si>
    <r>
      <t>ISC</t>
    </r>
    <r>
      <rPr>
        <vertAlign val="subscript"/>
        <sz val="9"/>
        <rFont val="Arial"/>
        <family val="2"/>
      </rPr>
      <t>F7C1(A)</t>
    </r>
  </si>
  <si>
    <r>
      <t>Z</t>
    </r>
    <r>
      <rPr>
        <vertAlign val="subscript"/>
        <sz val="9"/>
        <rFont val="Arial"/>
        <family val="2"/>
      </rPr>
      <t>PU-ZL7C2(F7C2)</t>
    </r>
  </si>
  <si>
    <t>(FAULT AT F7C2 PANELBOARD MCC-1)</t>
  </si>
  <si>
    <t>F7C2</t>
  </si>
  <si>
    <r>
      <t>Z</t>
    </r>
    <r>
      <rPr>
        <vertAlign val="subscript"/>
        <sz val="9"/>
        <rFont val="Arial"/>
        <family val="2"/>
      </rPr>
      <t>L7C2</t>
    </r>
  </si>
  <si>
    <t>CABLE IMPEDANCE (FOR LENGTH OF CABLE FROM MAIN BUS TO FAULT (F7C2)</t>
  </si>
  <si>
    <r>
      <t>Total Impedance at (Z</t>
    </r>
    <r>
      <rPr>
        <vertAlign val="subscript"/>
        <sz val="9"/>
        <rFont val="Arial"/>
        <family val="2"/>
      </rPr>
      <t>L7C2</t>
    </r>
    <r>
      <rPr>
        <sz val="9"/>
        <rFont val="Arial"/>
        <family val="2"/>
      </rPr>
      <t>) = Impedance to main bus+Impedance of cable</t>
    </r>
  </si>
  <si>
    <r>
      <t>Z</t>
    </r>
    <r>
      <rPr>
        <vertAlign val="subscript"/>
        <sz val="9"/>
        <rFont val="Arial"/>
        <family val="2"/>
      </rPr>
      <t>PU-B(F7C2)</t>
    </r>
  </si>
  <si>
    <t>ISC AT FAULT CURRENT "F7C2" AT MCC-1</t>
  </si>
  <si>
    <r>
      <t>ISC</t>
    </r>
    <r>
      <rPr>
        <vertAlign val="subscript"/>
        <sz val="9"/>
        <rFont val="Arial"/>
        <family val="2"/>
      </rPr>
      <t>F7C2(S)</t>
    </r>
  </si>
  <si>
    <r>
      <t>ISC</t>
    </r>
    <r>
      <rPr>
        <vertAlign val="subscript"/>
        <sz val="9"/>
        <rFont val="Arial"/>
        <family val="2"/>
      </rPr>
      <t>F7C2(A)</t>
    </r>
  </si>
  <si>
    <t>Total per unit impedance thru fault F7C2</t>
  </si>
  <si>
    <r>
      <t>Z</t>
    </r>
    <r>
      <rPr>
        <vertAlign val="subscript"/>
        <sz val="9"/>
        <rFont val="Arial"/>
        <family val="2"/>
      </rPr>
      <t>L7C3</t>
    </r>
  </si>
  <si>
    <t>F7C3</t>
  </si>
  <si>
    <t>(FAULT AT F7C3 PANELBOARD MCC-2)</t>
  </si>
  <si>
    <r>
      <t>Total Impedance at (Z</t>
    </r>
    <r>
      <rPr>
        <vertAlign val="subscript"/>
        <sz val="9"/>
        <rFont val="Arial"/>
        <family val="2"/>
      </rPr>
      <t>L7C3</t>
    </r>
    <r>
      <rPr>
        <sz val="9"/>
        <rFont val="Arial"/>
        <family val="2"/>
      </rPr>
      <t>) = Impedance to main bus+Impedance of cable</t>
    </r>
  </si>
  <si>
    <r>
      <t>Z</t>
    </r>
    <r>
      <rPr>
        <vertAlign val="subscript"/>
        <sz val="9"/>
        <rFont val="Arial"/>
        <family val="2"/>
      </rPr>
      <t>PU-ZL7C3(F7C3)</t>
    </r>
  </si>
  <si>
    <r>
      <t>Z</t>
    </r>
    <r>
      <rPr>
        <vertAlign val="subscript"/>
        <sz val="9"/>
        <rFont val="Arial"/>
        <family val="2"/>
      </rPr>
      <t>PU-B(F7C3)</t>
    </r>
  </si>
  <si>
    <t>Total per unit impedance thru fault F7C3</t>
  </si>
  <si>
    <t>ISC AT FAULT CURRENT "F7C3" AT MCC-2</t>
  </si>
  <si>
    <r>
      <t>ISC</t>
    </r>
    <r>
      <rPr>
        <vertAlign val="subscript"/>
        <sz val="9"/>
        <rFont val="Arial"/>
        <family val="2"/>
      </rPr>
      <t>F7C3(S)</t>
    </r>
  </si>
  <si>
    <r>
      <t>ISC</t>
    </r>
    <r>
      <rPr>
        <vertAlign val="subscript"/>
        <sz val="9"/>
        <rFont val="Arial"/>
        <family val="2"/>
      </rPr>
      <t>F7C3(A)</t>
    </r>
  </si>
  <si>
    <r>
      <t>Total Impedance based on resistance (Z</t>
    </r>
    <r>
      <rPr>
        <b/>
        <vertAlign val="subscript"/>
        <sz val="9"/>
        <color indexed="12"/>
        <rFont val="Arial"/>
        <family val="2"/>
      </rPr>
      <t>PU-RC</t>
    </r>
    <r>
      <rPr>
        <b/>
        <sz val="9"/>
        <color indexed="12"/>
        <rFont val="Arial"/>
        <family val="2"/>
      </rPr>
      <t>)</t>
    </r>
  </si>
  <si>
    <r>
      <t>Total Impedance based on reactance (Z</t>
    </r>
    <r>
      <rPr>
        <b/>
        <vertAlign val="subscript"/>
        <sz val="9"/>
        <color indexed="12"/>
        <rFont val="Arial"/>
        <family val="2"/>
      </rPr>
      <t>PU-XC</t>
    </r>
    <r>
      <rPr>
        <b/>
        <sz val="9"/>
        <color indexed="12"/>
        <rFont val="Arial"/>
        <family val="2"/>
      </rPr>
      <t>)</t>
    </r>
  </si>
  <si>
    <r>
      <t>SETS 4C X 300mm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+ 150mm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XLPE/PVC COPPER CABLE</t>
    </r>
  </si>
  <si>
    <r>
      <t>SETS 4C X 25mm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+ 10mm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XLPE/PVC COPPER CABLE</t>
    </r>
  </si>
  <si>
    <r>
      <t>Total Impedance to main bus of NG1 (Z</t>
    </r>
    <r>
      <rPr>
        <b/>
        <vertAlign val="subscript"/>
        <sz val="9"/>
        <color indexed="12"/>
        <rFont val="Arial"/>
        <family val="2"/>
      </rPr>
      <t>PU-B(F7A1)</t>
    </r>
    <r>
      <rPr>
        <b/>
        <sz val="9"/>
        <color indexed="12"/>
        <rFont val="Arial"/>
        <family val="2"/>
      </rPr>
      <t>)</t>
    </r>
  </si>
  <si>
    <r>
      <t>SETS 4C X 120mm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+ 70mm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XLPE/PVC COPPER CABLE</t>
    </r>
  </si>
  <si>
    <r>
      <t>Total Impedance at (Z</t>
    </r>
    <r>
      <rPr>
        <b/>
        <vertAlign val="subscript"/>
        <sz val="9"/>
        <color indexed="12"/>
        <rFont val="Arial"/>
        <family val="2"/>
      </rPr>
      <t>L7B</t>
    </r>
    <r>
      <rPr>
        <b/>
        <sz val="9"/>
        <color indexed="12"/>
        <rFont val="Arial"/>
        <family val="2"/>
      </rPr>
      <t>) = Impedance to main bus+Impedance of cable</t>
    </r>
  </si>
  <si>
    <r>
      <t>Total Impedance to main bus of NFDB (Z</t>
    </r>
    <r>
      <rPr>
        <b/>
        <vertAlign val="subscript"/>
        <sz val="9"/>
        <color indexed="12"/>
        <rFont val="Arial"/>
        <family val="2"/>
      </rPr>
      <t>PU-B(F7B)</t>
    </r>
    <r>
      <rPr>
        <b/>
        <sz val="9"/>
        <color indexed="12"/>
        <rFont val="Arial"/>
        <family val="2"/>
      </rPr>
      <t>)</t>
    </r>
  </si>
  <si>
    <r>
      <t>SETS 4C X 35mm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+ 16mm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XLPE/PVC COPPER CABLE</t>
    </r>
  </si>
  <si>
    <r>
      <t>Total Impedance to main bus of NF1 (Z</t>
    </r>
    <r>
      <rPr>
        <b/>
        <vertAlign val="subscript"/>
        <sz val="9"/>
        <color indexed="12"/>
        <rFont val="Arial"/>
        <family val="2"/>
      </rPr>
      <t>PU-B(F7B1)</t>
    </r>
    <r>
      <rPr>
        <b/>
        <sz val="9"/>
        <color indexed="12"/>
        <rFont val="Arial"/>
        <family val="2"/>
      </rPr>
      <t>)</t>
    </r>
  </si>
  <si>
    <r>
      <t>Total Impedance to main bus of NRDB (Z</t>
    </r>
    <r>
      <rPr>
        <b/>
        <vertAlign val="subscript"/>
        <sz val="9"/>
        <color indexed="12"/>
        <rFont val="Arial"/>
        <family val="2"/>
      </rPr>
      <t>PU-B(F7C)</t>
    </r>
    <r>
      <rPr>
        <b/>
        <sz val="9"/>
        <color indexed="12"/>
        <rFont val="Arial"/>
        <family val="2"/>
      </rPr>
      <t>)</t>
    </r>
  </si>
  <si>
    <r>
      <t>Total Impedance to main bus of NR1 (Z</t>
    </r>
    <r>
      <rPr>
        <b/>
        <vertAlign val="subscript"/>
        <sz val="9"/>
        <color indexed="12"/>
        <rFont val="Arial"/>
        <family val="2"/>
      </rPr>
      <t>PU-B(F7C1)</t>
    </r>
    <r>
      <rPr>
        <b/>
        <sz val="9"/>
        <color indexed="12"/>
        <rFont val="Arial"/>
        <family val="2"/>
      </rPr>
      <t>)</t>
    </r>
  </si>
  <si>
    <r>
      <t>Total Impedance to main bus of MCC-1 (Z</t>
    </r>
    <r>
      <rPr>
        <b/>
        <vertAlign val="subscript"/>
        <sz val="9"/>
        <color indexed="12"/>
        <rFont val="Arial"/>
        <family val="2"/>
      </rPr>
      <t>PU-B(F7C2)</t>
    </r>
    <r>
      <rPr>
        <b/>
        <sz val="9"/>
        <color indexed="12"/>
        <rFont val="Arial"/>
        <family val="2"/>
      </rPr>
      <t>)</t>
    </r>
  </si>
  <si>
    <r>
      <t>SETS 4C X 185mm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+ 95mm</t>
    </r>
    <r>
      <rPr>
        <b/>
        <vertAlign val="superscript"/>
        <sz val="9"/>
        <color indexed="12"/>
        <rFont val="Arial"/>
        <family val="2"/>
      </rPr>
      <t>2</t>
    </r>
    <r>
      <rPr>
        <b/>
        <sz val="9"/>
        <color indexed="12"/>
        <rFont val="Arial"/>
        <family val="2"/>
      </rPr>
      <t xml:space="preserve"> XLPE/PVC COPPER CABLE</t>
    </r>
  </si>
  <si>
    <r>
      <t>Total Impedance to main bus of MCC-2 (Z</t>
    </r>
    <r>
      <rPr>
        <b/>
        <vertAlign val="subscript"/>
        <sz val="9"/>
        <color indexed="12"/>
        <rFont val="Arial"/>
        <family val="2"/>
      </rPr>
      <t>PU-B(F7C3)</t>
    </r>
    <r>
      <rPr>
        <b/>
        <sz val="9"/>
        <color indexed="12"/>
        <rFont val="Arial"/>
        <family val="2"/>
      </rPr>
      <t>)</t>
    </r>
  </si>
  <si>
    <t xml:space="preserve"> CALCULATION FORMULA:</t>
  </si>
  <si>
    <t xml:space="preserve"> PURPOSE:</t>
  </si>
  <si>
    <r>
      <t>E</t>
    </r>
    <r>
      <rPr>
        <vertAlign val="subscript"/>
        <sz val="11"/>
        <color indexed="8"/>
        <rFont val="Calibri"/>
        <family val="2"/>
      </rPr>
      <t>LV(L-L)</t>
    </r>
  </si>
  <si>
    <t xml:space="preserve"> Short-Circuit  Current Calculations as per  IEC-60909</t>
  </si>
  <si>
    <t>LENGTH OF Cable</t>
  </si>
  <si>
    <t>Cable Resistance</t>
  </si>
  <si>
    <t>Sets of Cable</t>
  </si>
  <si>
    <t>Cable Reactance</t>
  </si>
  <si>
    <t xml:space="preserve"> Length of Cable (KM)</t>
  </si>
  <si>
    <t>(Cable Resistance)  Rc</t>
  </si>
  <si>
    <t>(Cable Reactance)  Xc</t>
  </si>
  <si>
    <t>Utility Source</t>
  </si>
  <si>
    <t>LV Installation</t>
  </si>
  <si>
    <t>Description</t>
  </si>
  <si>
    <t>Transformer</t>
  </si>
  <si>
    <t>Transformer KVA</t>
  </si>
  <si>
    <r>
      <t xml:space="preserve">% Z </t>
    </r>
    <r>
      <rPr>
        <vertAlign val="subscript"/>
        <sz val="9"/>
        <rFont val="Arial"/>
        <family val="2"/>
      </rPr>
      <t>TR</t>
    </r>
  </si>
  <si>
    <t>TR Losses (W)</t>
  </si>
  <si>
    <t>MV Network</t>
  </si>
  <si>
    <r>
      <t xml:space="preserve">TR </t>
    </r>
    <r>
      <rPr>
        <vertAlign val="subscript"/>
        <sz val="9"/>
        <rFont val="Arial"/>
        <family val="2"/>
      </rPr>
      <t>IFL(Amp.)</t>
    </r>
  </si>
  <si>
    <r>
      <t>Cable size (mm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</si>
  <si>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t>Cable length (m)</t>
  </si>
  <si>
    <t>R (mΩ)</t>
  </si>
  <si>
    <t>X (mΩ)</t>
  </si>
  <si>
    <r>
      <t>R</t>
    </r>
    <r>
      <rPr>
        <vertAlign val="subscript"/>
        <sz val="9"/>
        <rFont val="Arial"/>
        <family val="2"/>
      </rPr>
      <t>T (mΩ)</t>
    </r>
  </si>
  <si>
    <r>
      <t>X</t>
    </r>
    <r>
      <rPr>
        <vertAlign val="subscript"/>
        <sz val="9"/>
        <rFont val="Arial"/>
        <family val="2"/>
      </rPr>
      <t>T (mΩ)</t>
    </r>
  </si>
  <si>
    <r>
      <t xml:space="preserve">Selected </t>
    </r>
    <r>
      <rPr>
        <b/>
        <sz val="8"/>
        <rFont val="Arial Narrow"/>
        <family val="2"/>
      </rPr>
      <t>KA</t>
    </r>
  </si>
  <si>
    <r>
      <rPr>
        <b/>
        <sz val="9"/>
        <rFont val="Arial"/>
        <family val="2"/>
      </rPr>
      <t>I</t>
    </r>
    <r>
      <rPr>
        <b/>
        <vertAlign val="subscript"/>
        <sz val="9"/>
        <rFont val="Arial"/>
        <family val="2"/>
      </rPr>
      <t>sc (KA)</t>
    </r>
    <r>
      <rPr>
        <sz val="7"/>
        <rFont val="Arial"/>
        <family val="2"/>
      </rPr>
      <t xml:space="preserve"> = E</t>
    </r>
    <r>
      <rPr>
        <vertAlign val="subscript"/>
        <sz val="7"/>
        <rFont val="Arial"/>
        <family val="2"/>
      </rPr>
      <t>LV(L-L)</t>
    </r>
    <r>
      <rPr>
        <sz val="7"/>
        <rFont val="Arial"/>
        <family val="2"/>
      </rPr>
      <t xml:space="preserve"> / √3 x ΣZ</t>
    </r>
    <r>
      <rPr>
        <vertAlign val="subscript"/>
        <sz val="7"/>
        <rFont val="Arial"/>
        <family val="2"/>
      </rPr>
      <t>T</t>
    </r>
  </si>
  <si>
    <t>AEC</t>
  </si>
  <si>
    <t>Medium Voltage</t>
  </si>
  <si>
    <t>Main CB</t>
  </si>
  <si>
    <t>Negligible</t>
  </si>
  <si>
    <t>LV Cable</t>
  </si>
  <si>
    <t>Transformer TR-1</t>
  </si>
  <si>
    <r>
      <t>Z</t>
    </r>
    <r>
      <rPr>
        <vertAlign val="subscript"/>
        <sz val="9"/>
        <rFont val="Arial"/>
        <family val="2"/>
      </rPr>
      <t>C1</t>
    </r>
  </si>
  <si>
    <r>
      <t>Z</t>
    </r>
    <r>
      <rPr>
        <vertAlign val="subscript"/>
        <sz val="9"/>
        <rFont val="Arial"/>
        <family val="2"/>
      </rPr>
      <t>C2</t>
    </r>
  </si>
  <si>
    <r>
      <t>Z</t>
    </r>
    <r>
      <rPr>
        <vertAlign val="subscript"/>
        <sz val="9"/>
        <rFont val="Arial"/>
        <family val="2"/>
      </rPr>
      <t>TR</t>
    </r>
  </si>
  <si>
    <r>
      <t>Z</t>
    </r>
    <r>
      <rPr>
        <vertAlign val="subscript"/>
        <sz val="9"/>
        <rFont val="Arial"/>
        <family val="2"/>
      </rPr>
      <t>CB</t>
    </r>
  </si>
  <si>
    <t xml:space="preserve">damaging. </t>
  </si>
  <si>
    <t xml:space="preserve">KA interrupting capacity of the circuit breakers which can open and clear the fault current quickly and safely without </t>
  </si>
  <si>
    <t xml:space="preserve">The purpose of short-circuit current calculations is to determine the short-circuit ratings which are used to select the </t>
  </si>
  <si>
    <t>SHORT-CIRCUIT  CURRENT  CALCULATIONS</t>
  </si>
  <si>
    <t>Design</t>
  </si>
  <si>
    <t>ELECTRICAL</t>
  </si>
  <si>
    <t>:</t>
  </si>
  <si>
    <t>Designer</t>
  </si>
  <si>
    <t>Consultant</t>
  </si>
  <si>
    <t>Department</t>
  </si>
  <si>
    <t>Section</t>
  </si>
  <si>
    <t>Title</t>
  </si>
  <si>
    <t>Project Name</t>
  </si>
  <si>
    <t>Location</t>
  </si>
  <si>
    <t>Date</t>
  </si>
  <si>
    <r>
      <t>I</t>
    </r>
    <r>
      <rPr>
        <vertAlign val="subscript"/>
        <sz val="11"/>
        <color indexed="8"/>
        <rFont val="aerial"/>
      </rPr>
      <t>sc (KA)</t>
    </r>
    <r>
      <rPr>
        <sz val="11"/>
        <color indexed="8"/>
        <rFont val="aerial"/>
      </rPr>
      <t xml:space="preserve"> = E</t>
    </r>
    <r>
      <rPr>
        <vertAlign val="subscript"/>
        <sz val="11"/>
        <color indexed="8"/>
        <rFont val="aerial"/>
      </rPr>
      <t xml:space="preserve">LV(L-L) </t>
    </r>
    <r>
      <rPr>
        <sz val="11"/>
        <color indexed="8"/>
        <rFont val="aerial"/>
      </rPr>
      <t xml:space="preserve">/ </t>
    </r>
    <r>
      <rPr>
        <sz val="11"/>
        <color indexed="8"/>
        <rFont val="Calibri"/>
        <family val="2"/>
      </rPr>
      <t>√</t>
    </r>
    <r>
      <rPr>
        <sz val="11"/>
        <color indexed="8"/>
        <rFont val="aerial"/>
      </rPr>
      <t>3 x ΣZ</t>
    </r>
    <r>
      <rPr>
        <vertAlign val="subscript"/>
        <sz val="11"/>
        <color indexed="8"/>
        <rFont val="aerial"/>
      </rPr>
      <t>T</t>
    </r>
  </si>
  <si>
    <t>3  13.8 KV</t>
  </si>
  <si>
    <r>
      <t>R</t>
    </r>
    <r>
      <rPr>
        <vertAlign val="subscript"/>
        <sz val="9"/>
        <rFont val="Arial"/>
        <family val="2"/>
      </rPr>
      <t>utility</t>
    </r>
    <r>
      <rPr>
        <sz val="9"/>
        <rFont val="Arial"/>
        <family val="2"/>
      </rPr>
      <t xml:space="preserve"> =</t>
    </r>
  </si>
  <si>
    <r>
      <t>0.1 X</t>
    </r>
    <r>
      <rPr>
        <vertAlign val="subscript"/>
        <sz val="9"/>
        <rFont val="Arial"/>
        <family val="2"/>
      </rPr>
      <t>utility</t>
    </r>
  </si>
  <si>
    <r>
      <t xml:space="preserve"> Transformer (TR)</t>
    </r>
    <r>
      <rPr>
        <b/>
        <vertAlign val="subscript"/>
        <sz val="8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:</t>
    </r>
  </si>
  <si>
    <r>
      <t xml:space="preserve"> Utility Short-Circuit Current (U</t>
    </r>
    <r>
      <rPr>
        <b/>
        <vertAlign val="subscript"/>
        <sz val="9"/>
        <color indexed="12"/>
        <rFont val="Arial"/>
        <family val="2"/>
      </rPr>
      <t>SCC</t>
    </r>
    <r>
      <rPr>
        <b/>
        <sz val="9"/>
        <color indexed="12"/>
        <rFont val="Arial"/>
        <family val="2"/>
      </rPr>
      <t>)</t>
    </r>
    <r>
      <rPr>
        <b/>
        <vertAlign val="subscript"/>
        <sz val="8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:</t>
    </r>
  </si>
  <si>
    <r>
      <t>U</t>
    </r>
    <r>
      <rPr>
        <vertAlign val="subscript"/>
        <sz val="9"/>
        <rFont val="Arial"/>
        <family val="2"/>
      </rPr>
      <t>scc</t>
    </r>
    <r>
      <rPr>
        <sz val="9"/>
        <rFont val="Arial"/>
        <family val="2"/>
      </rPr>
      <t xml:space="preserve"> =</t>
    </r>
  </si>
  <si>
    <t>Utility SCC (KA)</t>
  </si>
  <si>
    <t>Utility SCP (MVA)</t>
  </si>
  <si>
    <r>
      <t>R</t>
    </r>
    <r>
      <rPr>
        <vertAlign val="subscript"/>
        <sz val="9"/>
        <rFont val="Arial"/>
        <family val="2"/>
      </rPr>
      <t>TR</t>
    </r>
    <r>
      <rPr>
        <sz val="9"/>
        <rFont val="Arial"/>
        <family val="2"/>
      </rPr>
      <t xml:space="preserve"> =</t>
    </r>
  </si>
  <si>
    <r>
      <t xml:space="preserve">3 x  (TR </t>
    </r>
    <r>
      <rPr>
        <vertAlign val="subscript"/>
        <sz val="9"/>
        <rFont val="Arial"/>
        <family val="2"/>
      </rPr>
      <t>IFL</t>
    </r>
    <r>
      <rPr>
        <sz val="9"/>
        <rFont val="Arial"/>
        <family val="2"/>
      </rPr>
      <t>)</t>
    </r>
    <r>
      <rPr>
        <vertAlign val="subscript"/>
        <sz val="9"/>
        <rFont val="Arial"/>
        <family val="2"/>
      </rPr>
      <t xml:space="preserve"> </t>
    </r>
    <r>
      <rPr>
        <vertAlign val="superscript"/>
        <sz val="9"/>
        <rFont val="Arial"/>
        <family val="2"/>
      </rPr>
      <t>2</t>
    </r>
  </si>
  <si>
    <r>
      <t>Z</t>
    </r>
    <r>
      <rPr>
        <vertAlign val="subscript"/>
        <sz val="9"/>
        <rFont val="Arial"/>
        <family val="2"/>
      </rPr>
      <t>TR</t>
    </r>
    <r>
      <rPr>
        <sz val="9"/>
        <rFont val="Arial"/>
        <family val="2"/>
      </rPr>
      <t xml:space="preserve"> =</t>
    </r>
  </si>
  <si>
    <t xml:space="preserve">x </t>
  </si>
  <si>
    <r>
      <t>%Z</t>
    </r>
    <r>
      <rPr>
        <vertAlign val="subscript"/>
        <sz val="9"/>
        <rFont val="Arial"/>
        <family val="2"/>
      </rPr>
      <t>TR</t>
    </r>
  </si>
  <si>
    <r>
      <t>100% x TR</t>
    </r>
    <r>
      <rPr>
        <vertAlign val="subscript"/>
        <sz val="9"/>
        <rFont val="Arial"/>
        <family val="2"/>
      </rPr>
      <t>KVA</t>
    </r>
  </si>
  <si>
    <t xml:space="preserve">Utility Short-Circuit Power </t>
  </si>
  <si>
    <t>TR Losses x 1000</t>
  </si>
  <si>
    <r>
      <rPr>
        <sz val="9"/>
        <color indexed="8"/>
        <rFont val="aerial"/>
      </rPr>
      <t xml:space="preserve">   Z</t>
    </r>
    <r>
      <rPr>
        <vertAlign val="subscript"/>
        <sz val="9"/>
        <color indexed="8"/>
        <rFont val="aerial"/>
      </rPr>
      <t>TR</t>
    </r>
    <r>
      <rPr>
        <vertAlign val="superscript"/>
        <sz val="9"/>
        <color indexed="8"/>
        <rFont val="aerial"/>
      </rPr>
      <t>2</t>
    </r>
    <r>
      <rPr>
        <vertAlign val="subscript"/>
        <sz val="16"/>
        <color indexed="8"/>
        <rFont val="aerial"/>
      </rPr>
      <t>-</t>
    </r>
    <r>
      <rPr>
        <vertAlign val="subscript"/>
        <sz val="10"/>
        <color indexed="8"/>
        <rFont val="aerial"/>
      </rPr>
      <t xml:space="preserve"> </t>
    </r>
    <r>
      <rPr>
        <sz val="9"/>
        <color indexed="8"/>
        <rFont val="aerial"/>
      </rPr>
      <t>R</t>
    </r>
    <r>
      <rPr>
        <vertAlign val="subscript"/>
        <sz val="9"/>
        <color indexed="8"/>
        <rFont val="aerial"/>
      </rPr>
      <t>TR</t>
    </r>
    <r>
      <rPr>
        <vertAlign val="superscript"/>
        <sz val="9"/>
        <color indexed="8"/>
        <rFont val="aerial"/>
      </rPr>
      <t>2</t>
    </r>
  </si>
  <si>
    <r>
      <t>X</t>
    </r>
    <r>
      <rPr>
        <vertAlign val="subscript"/>
        <sz val="9"/>
        <rFont val="Arial"/>
        <family val="2"/>
      </rPr>
      <t xml:space="preserve">TR  </t>
    </r>
    <r>
      <rPr>
        <sz val="9"/>
        <rFont val="Arial"/>
        <family val="2"/>
      </rPr>
      <t>=</t>
    </r>
  </si>
  <si>
    <r>
      <t>E</t>
    </r>
    <r>
      <rPr>
        <vertAlign val="subscript"/>
        <sz val="9"/>
        <rFont val="Arial"/>
        <family val="2"/>
      </rPr>
      <t xml:space="preserve">LV(L-L)  </t>
    </r>
    <r>
      <rPr>
        <vertAlign val="superscript"/>
        <sz val="9"/>
        <rFont val="Arial"/>
        <family val="2"/>
      </rPr>
      <t xml:space="preserve">   2       </t>
    </r>
  </si>
  <si>
    <r>
      <t>TR</t>
    </r>
    <r>
      <rPr>
        <vertAlign val="subscript"/>
        <sz val="9"/>
        <rFont val="Arial"/>
        <family val="2"/>
      </rPr>
      <t>IFL</t>
    </r>
    <r>
      <rPr>
        <sz val="9"/>
        <rFont val="Arial"/>
        <family val="2"/>
      </rPr>
      <t xml:space="preserve"> =</t>
    </r>
  </si>
  <si>
    <r>
      <t xml:space="preserve">    R</t>
    </r>
    <r>
      <rPr>
        <vertAlign val="subscript"/>
        <sz val="9"/>
        <rFont val="Arial"/>
        <family val="2"/>
      </rPr>
      <t>T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+ X</t>
    </r>
    <r>
      <rPr>
        <vertAlign val="subscript"/>
        <sz val="9"/>
        <rFont val="Arial"/>
        <family val="2"/>
      </rPr>
      <t>T</t>
    </r>
    <r>
      <rPr>
        <vertAlign val="superscript"/>
        <sz val="9"/>
        <rFont val="Arial"/>
        <family val="2"/>
      </rPr>
      <t>2</t>
    </r>
  </si>
  <si>
    <r>
      <t>ΣZ</t>
    </r>
    <r>
      <rPr>
        <vertAlign val="subscript"/>
        <sz val="11"/>
        <color indexed="8"/>
        <rFont val="aerial"/>
      </rPr>
      <t>T</t>
    </r>
    <r>
      <rPr>
        <sz val="11"/>
        <color indexed="8"/>
        <rFont val="aerial"/>
      </rPr>
      <t>=</t>
    </r>
  </si>
  <si>
    <t xml:space="preserve"> Cables :</t>
  </si>
  <si>
    <r>
      <t>R</t>
    </r>
    <r>
      <rPr>
        <vertAlign val="subscript"/>
        <sz val="9"/>
        <rFont val="Arial"/>
        <family val="2"/>
      </rPr>
      <t>C</t>
    </r>
    <r>
      <rPr>
        <sz val="9"/>
        <rFont val="Arial"/>
        <family val="2"/>
      </rPr>
      <t xml:space="preserve">= </t>
    </r>
    <r>
      <rPr>
        <sz val="9"/>
        <rFont val="Calibri"/>
        <family val="2"/>
      </rPr>
      <t>ρ</t>
    </r>
  </si>
  <si>
    <r>
      <t>L</t>
    </r>
    <r>
      <rPr>
        <vertAlign val="subscript"/>
        <sz val="9"/>
        <rFont val="Arial"/>
        <family val="2"/>
      </rPr>
      <t>C</t>
    </r>
  </si>
  <si>
    <t>(n) A</t>
  </si>
  <si>
    <r>
      <t>X</t>
    </r>
    <r>
      <rPr>
        <vertAlign val="subscript"/>
        <sz val="9"/>
        <rFont val="Arial"/>
        <family val="2"/>
      </rPr>
      <t xml:space="preserve">C </t>
    </r>
    <r>
      <rPr>
        <sz val="9"/>
        <rFont val="Arial"/>
        <family val="2"/>
      </rPr>
      <t>=</t>
    </r>
  </si>
  <si>
    <r>
      <t>0.096 x L</t>
    </r>
    <r>
      <rPr>
        <vertAlign val="subscript"/>
        <sz val="9"/>
        <rFont val="Arial"/>
        <family val="2"/>
      </rPr>
      <t>C</t>
    </r>
  </si>
  <si>
    <t xml:space="preserve"> Z</t>
  </si>
  <si>
    <t>Utility SCP</t>
  </si>
  <si>
    <r>
      <t>E</t>
    </r>
    <r>
      <rPr>
        <vertAlign val="subscript"/>
        <sz val="9"/>
        <rFont val="Arial"/>
        <family val="2"/>
      </rPr>
      <t xml:space="preserve">LV(L-L)     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  x  1000</t>
    </r>
  </si>
  <si>
    <r>
      <t xml:space="preserve">TR </t>
    </r>
    <r>
      <rPr>
        <vertAlign val="subscript"/>
        <sz val="9"/>
        <rFont val="Arial"/>
        <family val="2"/>
      </rPr>
      <t>Rated</t>
    </r>
    <r>
      <rPr>
        <sz val="9"/>
        <rFont val="Arial"/>
        <family val="2"/>
      </rPr>
      <t xml:space="preserve"> </t>
    </r>
    <r>
      <rPr>
        <vertAlign val="subscript"/>
        <sz val="9"/>
        <rFont val="Arial"/>
        <family val="2"/>
      </rPr>
      <t>Capacity</t>
    </r>
  </si>
  <si>
    <t>ρ</t>
  </si>
  <si>
    <t>n</t>
  </si>
  <si>
    <t>A</t>
  </si>
  <si>
    <t xml:space="preserve">Impedance </t>
  </si>
  <si>
    <r>
      <t>I</t>
    </r>
    <r>
      <rPr>
        <vertAlign val="subscript"/>
        <sz val="8"/>
        <rFont val="Arial"/>
        <family val="2"/>
      </rPr>
      <t>sc</t>
    </r>
  </si>
  <si>
    <t>R</t>
  </si>
  <si>
    <t>Resistance</t>
  </si>
  <si>
    <t>Inductive Reactance</t>
  </si>
  <si>
    <t>Cable Length (m)</t>
  </si>
  <si>
    <t>KA</t>
  </si>
  <si>
    <t>Kilo Ampere or 1000 Ampere</t>
  </si>
  <si>
    <t>TR</t>
  </si>
  <si>
    <t>C</t>
  </si>
  <si>
    <t xml:space="preserve">Cable </t>
  </si>
  <si>
    <t>Symmetrical 3-phase short-circuit current (KA)</t>
  </si>
  <si>
    <r>
      <t>Cross-sectional area of conductor (mm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</si>
  <si>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E</t>
    </r>
    <r>
      <rPr>
        <vertAlign val="subscript"/>
        <sz val="9"/>
        <rFont val="Arial"/>
        <family val="2"/>
      </rPr>
      <t>LV</t>
    </r>
  </si>
  <si>
    <t>Low voltage</t>
  </si>
  <si>
    <r>
      <t>I</t>
    </r>
    <r>
      <rPr>
        <vertAlign val="subscript"/>
        <sz val="9"/>
        <rFont val="Arial"/>
        <family val="2"/>
      </rPr>
      <t>FL</t>
    </r>
  </si>
  <si>
    <t>Full Load Current (Amp.)</t>
  </si>
  <si>
    <r>
      <t>Note: Use 0.096 m</t>
    </r>
    <r>
      <rPr>
        <sz val="8"/>
        <rFont val="Calibri"/>
        <family val="2"/>
      </rPr>
      <t>Ω</t>
    </r>
    <r>
      <rPr>
        <sz val="10.4"/>
        <rFont val="Arial Narrow"/>
        <family val="2"/>
      </rPr>
      <t>/</t>
    </r>
    <r>
      <rPr>
        <sz val="9"/>
        <rFont val="Arial Narrow"/>
        <family val="2"/>
      </rPr>
      <t>m</t>
    </r>
    <r>
      <rPr>
        <sz val="8"/>
        <rFont val="Arial Narrow"/>
        <family val="2"/>
      </rPr>
      <t xml:space="preserve"> for 60Hz systems &amp; 0.08 mΩ/m for 50Hz.</t>
    </r>
  </si>
  <si>
    <t>Number of cables per phase</t>
  </si>
  <si>
    <t>Note:</t>
  </si>
  <si>
    <t>T</t>
  </si>
  <si>
    <t xml:space="preserve">Total </t>
  </si>
  <si>
    <r>
      <t>No. of cable</t>
    </r>
    <r>
      <rPr>
        <sz val="6"/>
        <rFont val="Arial"/>
        <family val="2"/>
      </rPr>
      <t>(</t>
    </r>
    <r>
      <rPr>
        <sz val="9"/>
        <rFont val="Arial"/>
        <family val="2"/>
      </rPr>
      <t>s</t>
    </r>
    <r>
      <rPr>
        <sz val="6"/>
        <rFont val="Arial"/>
        <family val="2"/>
      </rPr>
      <t xml:space="preserve">) </t>
    </r>
    <r>
      <rPr>
        <sz val="9"/>
        <rFont val="Arial"/>
        <family val="2"/>
      </rPr>
      <t>/ Ph.</t>
    </r>
  </si>
  <si>
    <t>TR Rating (KVA)</t>
  </si>
  <si>
    <t>KA Rating</t>
  </si>
  <si>
    <t>Transformer Cu losses &amp; transformer %Z to be taken as per SEC data.</t>
  </si>
  <si>
    <t>LVDP</t>
  </si>
  <si>
    <t>On Secondary Side of TR.</t>
  </si>
  <si>
    <t>Cables from DPR to LPR</t>
  </si>
  <si>
    <t>Not Considered in Practice</t>
  </si>
  <si>
    <t>Bus Bars</t>
  </si>
  <si>
    <r>
      <t>Z</t>
    </r>
    <r>
      <rPr>
        <vertAlign val="subscript"/>
        <sz val="9"/>
        <rFont val="Arial"/>
        <family val="2"/>
      </rPr>
      <t>BB</t>
    </r>
  </si>
  <si>
    <t>BMR</t>
  </si>
  <si>
    <r>
      <t>3  x     E</t>
    </r>
    <r>
      <rPr>
        <vertAlign val="subscript"/>
        <sz val="9"/>
        <rFont val="Arial"/>
        <family val="2"/>
      </rPr>
      <t>LV(L-L)</t>
    </r>
    <r>
      <rPr>
        <sz val="9"/>
        <rFont val="Arial"/>
        <family val="2"/>
      </rPr>
      <t xml:space="preserve">   </t>
    </r>
    <r>
      <rPr>
        <vertAlign val="superscript"/>
        <sz val="9"/>
        <rFont val="Arial"/>
        <family val="2"/>
      </rPr>
      <t xml:space="preserve"> </t>
    </r>
    <r>
      <rPr>
        <sz val="9"/>
        <rFont val="Arial"/>
        <family val="2"/>
      </rPr>
      <t xml:space="preserve">      </t>
    </r>
  </si>
  <si>
    <r>
      <t>Z</t>
    </r>
    <r>
      <rPr>
        <vertAlign val="subscript"/>
        <sz val="9"/>
        <rFont val="Arial"/>
        <family val="2"/>
      </rPr>
      <t>C3</t>
    </r>
  </si>
  <si>
    <r>
      <t>Z</t>
    </r>
    <r>
      <rPr>
        <vertAlign val="subscript"/>
        <sz val="9"/>
        <rFont val="Arial"/>
        <family val="2"/>
      </rPr>
      <t>C4</t>
    </r>
  </si>
  <si>
    <t>XYZ</t>
  </si>
  <si>
    <t>KSA</t>
  </si>
  <si>
    <t>Cables from LV SWGR to MDP</t>
  </si>
  <si>
    <t>Cables from MDP to DPR</t>
  </si>
  <si>
    <t>Cables from LPR to LPR1</t>
  </si>
  <si>
    <r>
      <t>Resistivity constant of Cu conductor = 23.69 m</t>
    </r>
    <r>
      <rPr>
        <sz val="9"/>
        <rFont val="Calibri"/>
        <family val="2"/>
      </rPr>
      <t>Ω.mm</t>
    </r>
    <r>
      <rPr>
        <vertAlign val="superscript"/>
        <sz val="9"/>
        <rFont val="Calibri"/>
        <family val="2"/>
      </rPr>
      <t>2</t>
    </r>
    <r>
      <rPr>
        <sz val="9"/>
        <rFont val="Calibri"/>
        <family val="2"/>
      </rPr>
      <t>/m  and  for AL conductor = 37.65 mΩ.mm</t>
    </r>
    <r>
      <rPr>
        <vertAlign val="superscript"/>
        <sz val="9"/>
        <rFont val="Calibri"/>
        <family val="2"/>
      </rPr>
      <t>2</t>
    </r>
    <r>
      <rPr>
        <sz val="9"/>
        <rFont val="Calibri"/>
        <family val="2"/>
      </rPr>
      <t>/m</t>
    </r>
  </si>
  <si>
    <t>Catalog</t>
  </si>
  <si>
    <t>M/MG</t>
  </si>
  <si>
    <t>W</t>
  </si>
  <si>
    <t>MG/W</t>
  </si>
  <si>
    <t>M/MG/W</t>
  </si>
  <si>
    <t>M</t>
  </si>
  <si>
    <t>MG</t>
  </si>
  <si>
    <t>M/W</t>
  </si>
  <si>
    <t>BMR/Jan.12, 2005</t>
  </si>
  <si>
    <t>Data Base-1</t>
  </si>
  <si>
    <r>
      <rPr>
        <b/>
        <sz val="8"/>
        <color indexed="9"/>
        <rFont val="Calibri"/>
        <family val="2"/>
      </rPr>
      <t>Cable MM</t>
    </r>
    <r>
      <rPr>
        <b/>
        <vertAlign val="superscript"/>
        <sz val="8"/>
        <color indexed="9"/>
        <rFont val="Calibri"/>
        <family val="2"/>
      </rPr>
      <t>2</t>
    </r>
  </si>
  <si>
    <t>XFMR KVA</t>
  </si>
  <si>
    <t>SEC</t>
  </si>
  <si>
    <r>
      <t>X</t>
    </r>
    <r>
      <rPr>
        <vertAlign val="subscript"/>
        <sz val="9"/>
        <rFont val="Arial"/>
        <family val="2"/>
      </rPr>
      <t>utility</t>
    </r>
    <r>
      <rPr>
        <sz val="9"/>
        <rFont val="Arial"/>
        <family val="2"/>
      </rPr>
      <t xml:space="preserve"> =</t>
    </r>
  </si>
  <si>
    <r>
      <t>Z</t>
    </r>
    <r>
      <rPr>
        <vertAlign val="subscript"/>
        <sz val="9"/>
        <rFont val="Arial"/>
        <family val="2"/>
      </rPr>
      <t xml:space="preserve">u </t>
    </r>
    <r>
      <rPr>
        <b/>
        <vertAlign val="subscript"/>
        <sz val="9"/>
        <rFont val="Arial"/>
        <family val="2"/>
      </rPr>
      <t xml:space="preserve">= </t>
    </r>
  </si>
  <si>
    <r>
      <t>0.995 x Z</t>
    </r>
    <r>
      <rPr>
        <vertAlign val="subscript"/>
        <sz val="9"/>
        <rFont val="Arial"/>
        <family val="2"/>
      </rPr>
      <t>u</t>
    </r>
  </si>
  <si>
    <r>
      <t>Where: U</t>
    </r>
    <r>
      <rPr>
        <vertAlign val="subscript"/>
        <sz val="7"/>
        <rFont val="Arial"/>
        <family val="2"/>
      </rPr>
      <t>SCP</t>
    </r>
    <r>
      <rPr>
        <sz val="7"/>
        <rFont val="Arial"/>
        <family val="2"/>
      </rPr>
      <t>=500000000</t>
    </r>
  </si>
  <si>
    <t>Data Base-2</t>
  </si>
  <si>
    <t>Data Base-3</t>
  </si>
  <si>
    <t>FEB.17, 2019</t>
  </si>
  <si>
    <t xml:space="preserve"> Standard                                           KA Ratings</t>
  </si>
  <si>
    <r>
      <t>% Z</t>
    </r>
    <r>
      <rPr>
        <b/>
        <vertAlign val="subscript"/>
        <sz val="6"/>
        <rFont val="Arial"/>
        <family val="2"/>
      </rPr>
      <t>TR</t>
    </r>
  </si>
  <si>
    <r>
      <t>No. of 1Cx630mm</t>
    </r>
    <r>
      <rPr>
        <b/>
        <vertAlign val="superscript"/>
        <sz val="6"/>
        <rFont val="Arial"/>
        <family val="2"/>
      </rPr>
      <t>2</t>
    </r>
    <r>
      <rPr>
        <b/>
        <sz val="6"/>
        <rFont val="Arial"/>
        <family val="2"/>
      </rPr>
      <t xml:space="preserve"> cables per phase</t>
    </r>
  </si>
  <si>
    <t>Data Base-4 (as per SEC Standard)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</si>
</sst>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6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bscript"/>
      <sz val="8"/>
      <name val="Arial"/>
      <family val="2"/>
    </font>
    <font>
      <sz val="10"/>
      <name val="Arial"/>
      <family val="2"/>
    </font>
    <font>
      <vertAlign val="subscript"/>
      <sz val="9"/>
      <name val="Arial"/>
      <family val="2"/>
    </font>
    <font>
      <sz val="9"/>
      <color indexed="10"/>
      <name val="Arial"/>
      <family val="2"/>
    </font>
    <font>
      <vertAlign val="superscript"/>
      <sz val="9"/>
      <name val="Arial"/>
      <family val="2"/>
    </font>
    <font>
      <sz val="9"/>
      <color indexed="30"/>
      <name val="Arial"/>
      <family val="2"/>
    </font>
    <font>
      <b/>
      <sz val="9"/>
      <color indexed="12"/>
      <name val="Arial"/>
      <family val="2"/>
    </font>
    <font>
      <b/>
      <vertAlign val="superscript"/>
      <sz val="9"/>
      <color indexed="12"/>
      <name val="Arial"/>
      <family val="2"/>
    </font>
    <font>
      <b/>
      <vertAlign val="subscript"/>
      <sz val="8"/>
      <color indexed="12"/>
      <name val="Arial"/>
      <family val="2"/>
    </font>
    <font>
      <b/>
      <vertAlign val="subscript"/>
      <sz val="9"/>
      <color indexed="12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7"/>
      <color indexed="12"/>
      <name val="Arial"/>
      <family val="2"/>
    </font>
    <font>
      <b/>
      <sz val="11"/>
      <color indexed="12"/>
      <name val="Arial"/>
      <family val="2"/>
    </font>
    <font>
      <vertAlign val="subscript"/>
      <sz val="11"/>
      <color indexed="8"/>
      <name val="Calibri"/>
      <family val="2"/>
    </font>
    <font>
      <sz val="9"/>
      <color indexed="8"/>
      <name val="aerial"/>
    </font>
    <font>
      <vertAlign val="subscript"/>
      <sz val="9"/>
      <color indexed="8"/>
      <name val="aerial"/>
    </font>
    <font>
      <vertAlign val="superscript"/>
      <sz val="9"/>
      <color indexed="8"/>
      <name val="aerial"/>
    </font>
    <font>
      <vertAlign val="subscript"/>
      <sz val="16"/>
      <color indexed="8"/>
      <name val="aerial"/>
    </font>
    <font>
      <vertAlign val="subscript"/>
      <sz val="10"/>
      <color indexed="8"/>
      <name val="aerial"/>
    </font>
    <font>
      <b/>
      <sz val="8"/>
      <name val="Arial"/>
      <family val="2"/>
    </font>
    <font>
      <sz val="7"/>
      <name val="Arial"/>
      <family val="2"/>
    </font>
    <font>
      <vertAlign val="subscript"/>
      <sz val="7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vertAlign val="subscript"/>
      <sz val="9"/>
      <name val="Arial"/>
      <family val="2"/>
    </font>
    <font>
      <sz val="11"/>
      <color indexed="8"/>
      <name val="Calibri"/>
      <family val="2"/>
    </font>
    <font>
      <b/>
      <sz val="9"/>
      <color indexed="12"/>
      <name val="Calibri"/>
      <family val="2"/>
    </font>
    <font>
      <vertAlign val="subscript"/>
      <sz val="11"/>
      <color indexed="8"/>
      <name val="aerial"/>
    </font>
    <font>
      <sz val="11"/>
      <color indexed="8"/>
      <name val="aerial"/>
    </font>
    <font>
      <sz val="9"/>
      <name val="Calibri"/>
      <family val="2"/>
    </font>
    <font>
      <sz val="9"/>
      <color indexed="12"/>
      <name val="Arial"/>
      <family val="2"/>
    </font>
    <font>
      <vertAlign val="superscript"/>
      <sz val="9"/>
      <name val="Calibri"/>
      <family val="2"/>
    </font>
    <font>
      <sz val="8"/>
      <name val="Calibri"/>
      <family val="2"/>
    </font>
    <font>
      <sz val="10.4"/>
      <name val="Arial Narrow"/>
      <family val="2"/>
    </font>
    <font>
      <sz val="9"/>
      <name val="Arial Narrow"/>
      <family val="2"/>
    </font>
    <font>
      <sz val="6"/>
      <name val="Arial"/>
      <family val="2"/>
    </font>
    <font>
      <b/>
      <sz val="8"/>
      <color indexed="12"/>
      <name val="Arial"/>
      <family val="2"/>
    </font>
    <font>
      <b/>
      <sz val="8"/>
      <color indexed="9"/>
      <name val="Calibri"/>
      <family val="2"/>
    </font>
    <font>
      <b/>
      <vertAlign val="superscript"/>
      <sz val="8"/>
      <color indexed="9"/>
      <name val="Calibri"/>
      <family val="2"/>
    </font>
    <font>
      <b/>
      <sz val="7"/>
      <name val="Arial"/>
      <family val="2"/>
    </font>
    <font>
      <b/>
      <sz val="6"/>
      <name val="Arial"/>
      <family val="2"/>
    </font>
    <font>
      <b/>
      <vertAlign val="subscript"/>
      <sz val="6"/>
      <name val="Arial"/>
      <family val="2"/>
    </font>
    <font>
      <b/>
      <vertAlign val="superscript"/>
      <sz val="6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rgb="FF0000FF"/>
      <name val="Arial"/>
      <family val="2"/>
    </font>
    <font>
      <sz val="9"/>
      <color theme="1"/>
      <name val="aerial"/>
    </font>
    <font>
      <sz val="9"/>
      <color rgb="FF0000FF"/>
      <name val="aerial"/>
    </font>
    <font>
      <sz val="9"/>
      <color rgb="FFFF0000"/>
      <name val="aerial"/>
    </font>
    <font>
      <b/>
      <sz val="9"/>
      <color rgb="FF0000FF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  <font>
      <b/>
      <sz val="8"/>
      <color theme="0"/>
      <name val="Calibri"/>
      <family val="2"/>
      <scheme val="minor"/>
    </font>
    <font>
      <b/>
      <sz val="6"/>
      <color theme="0"/>
      <name val="Arial Narrow"/>
      <family val="2"/>
    </font>
    <font>
      <sz val="9"/>
      <color rgb="FF0000FF"/>
      <name val="Arial"/>
      <family val="2"/>
    </font>
    <font>
      <sz val="8"/>
      <color rgb="FFFF0000"/>
      <name val="Arial"/>
      <family val="2"/>
    </font>
    <font>
      <sz val="11"/>
      <color theme="1"/>
      <name val="aerial"/>
    </font>
    <font>
      <b/>
      <sz val="12"/>
      <color theme="0"/>
      <name val="Arial"/>
      <family val="2"/>
    </font>
    <font>
      <b/>
      <sz val="12"/>
      <color indexed="9"/>
      <name val="Calibri"/>
      <family val="2"/>
    </font>
    <font>
      <b/>
      <sz val="9"/>
      <color indexed="9"/>
      <name val="Arial Narrow"/>
      <family val="2"/>
    </font>
    <font>
      <b/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9FCB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thick">
        <color rgb="FFC00000"/>
      </bottom>
      <diagonal/>
    </border>
    <border>
      <left/>
      <right/>
      <top style="thick">
        <color rgb="FFC00000"/>
      </top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3" fillId="0" borderId="0" xfId="0" applyNumberFormat="1" applyFont="1" applyProtection="1">
      <protection locked="0"/>
    </xf>
    <xf numFmtId="0" fontId="3" fillId="0" borderId="0" xfId="0" applyNumberFormat="1" applyFont="1" applyBorder="1" applyAlignment="1" applyProtection="1">
      <alignment horizontal="left"/>
      <protection locked="0"/>
    </xf>
    <xf numFmtId="0" fontId="10" fillId="0" borderId="0" xfId="0" applyNumberFormat="1" applyFont="1" applyBorder="1" applyAlignment="1" applyProtection="1">
      <alignment horizontal="left"/>
      <protection locked="0"/>
    </xf>
    <xf numFmtId="0" fontId="3" fillId="0" borderId="0" xfId="0" applyNumberFormat="1" applyFont="1" applyBorder="1" applyAlignment="1" applyProtection="1">
      <protection locked="0"/>
    </xf>
    <xf numFmtId="0" fontId="10" fillId="0" borderId="0" xfId="0" applyNumberFormat="1" applyFont="1" applyBorder="1" applyAlignment="1" applyProtection="1">
      <protection locked="0"/>
    </xf>
    <xf numFmtId="0" fontId="3" fillId="0" borderId="0" xfId="0" applyNumberFormat="1" applyFont="1" applyBorder="1" applyAlignment="1" applyProtection="1">
      <alignment horizontal="center"/>
      <protection locked="0"/>
    </xf>
    <xf numFmtId="0" fontId="10" fillId="0" borderId="0" xfId="0" applyNumberFormat="1" applyFont="1" applyBorder="1" applyAlignment="1" applyProtection="1">
      <alignment horizontal="center"/>
      <protection locked="0"/>
    </xf>
    <xf numFmtId="0" fontId="10" fillId="0" borderId="1" xfId="0" applyNumberFormat="1" applyFont="1" applyBorder="1" applyAlignment="1" applyProtection="1">
      <alignment horizontal="left"/>
      <protection locked="0"/>
    </xf>
    <xf numFmtId="0" fontId="10" fillId="0" borderId="0" xfId="0" applyNumberFormat="1" applyFont="1" applyBorder="1" applyProtection="1">
      <protection locked="0"/>
    </xf>
    <xf numFmtId="0" fontId="10" fillId="0" borderId="2" xfId="0" applyNumberFormat="1" applyFont="1" applyBorder="1" applyProtection="1">
      <protection locked="0"/>
    </xf>
    <xf numFmtId="0" fontId="10" fillId="0" borderId="0" xfId="0" applyNumberFormat="1" applyFont="1" applyProtection="1">
      <protection locked="0"/>
    </xf>
    <xf numFmtId="0" fontId="3" fillId="0" borderId="1" xfId="0" applyNumberFormat="1" applyFont="1" applyBorder="1" applyProtection="1">
      <protection locked="0"/>
    </xf>
    <xf numFmtId="0" fontId="3" fillId="0" borderId="0" xfId="0" applyNumberFormat="1" applyFont="1" applyBorder="1" applyProtection="1">
      <protection locked="0"/>
    </xf>
    <xf numFmtId="0" fontId="3" fillId="0" borderId="2" xfId="0" applyNumberFormat="1" applyFont="1" applyBorder="1" applyProtection="1">
      <protection locked="0"/>
    </xf>
    <xf numFmtId="0" fontId="7" fillId="0" borderId="0" xfId="0" applyNumberFormat="1" applyFont="1" applyBorder="1" applyProtection="1">
      <protection locked="0"/>
    </xf>
    <xf numFmtId="0" fontId="10" fillId="0" borderId="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right"/>
      <protection locked="0"/>
    </xf>
    <xf numFmtId="0" fontId="10" fillId="0" borderId="1" xfId="0" applyNumberFormat="1" applyFont="1" applyBorder="1" applyProtection="1">
      <protection locked="0"/>
    </xf>
    <xf numFmtId="0" fontId="10" fillId="0" borderId="0" xfId="0" applyNumberFormat="1" applyFont="1" applyBorder="1" applyAlignment="1" applyProtection="1">
      <alignment horizontal="right"/>
      <protection locked="0"/>
    </xf>
    <xf numFmtId="0" fontId="3" fillId="0" borderId="3" xfId="0" applyNumberFormat="1" applyFont="1" applyBorder="1" applyProtection="1">
      <protection locked="0"/>
    </xf>
    <xf numFmtId="0" fontId="3" fillId="0" borderId="3" xfId="0" applyNumberFormat="1" applyFont="1" applyBorder="1" applyAlignment="1" applyProtection="1">
      <alignment horizontal="center"/>
      <protection locked="0"/>
    </xf>
    <xf numFmtId="0" fontId="3" fillId="0" borderId="4" xfId="0" applyNumberFormat="1" applyFont="1" applyBorder="1" applyProtection="1">
      <protection locked="0"/>
    </xf>
    <xf numFmtId="0" fontId="3" fillId="0" borderId="1" xfId="0" applyNumberFormat="1" applyFont="1" applyBorder="1" applyAlignment="1" applyProtection="1">
      <protection locked="0"/>
    </xf>
    <xf numFmtId="0" fontId="3" fillId="0" borderId="5" xfId="0" applyNumberFormat="1" applyFont="1" applyBorder="1" applyAlignment="1" applyProtection="1">
      <protection locked="0"/>
    </xf>
    <xf numFmtId="0" fontId="3" fillId="0" borderId="6" xfId="0" applyNumberFormat="1" applyFont="1" applyBorder="1" applyAlignment="1" applyProtection="1">
      <protection locked="0"/>
    </xf>
    <xf numFmtId="0" fontId="3" fillId="0" borderId="3" xfId="0" applyNumberFormat="1" applyFont="1" applyBorder="1" applyAlignment="1" applyProtection="1">
      <protection locked="0"/>
    </xf>
    <xf numFmtId="0" fontId="10" fillId="0" borderId="0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0" xfId="0" quotePrefix="1" applyNumberFormat="1" applyFont="1" applyBorder="1" applyAlignment="1" applyProtection="1">
      <alignment horizontal="center"/>
      <protection locked="0"/>
    </xf>
    <xf numFmtId="0" fontId="7" fillId="0" borderId="0" xfId="0" applyNumberFormat="1" applyFont="1" applyBorder="1" applyAlignment="1" applyProtection="1">
      <alignment horizontal="center"/>
      <protection locked="0"/>
    </xf>
    <xf numFmtId="0" fontId="10" fillId="0" borderId="0" xfId="0" quotePrefix="1" applyNumberFormat="1" applyFont="1" applyBorder="1" applyAlignment="1" applyProtection="1">
      <alignment horizontal="center" vertical="center"/>
      <protection locked="0"/>
    </xf>
    <xf numFmtId="0" fontId="10" fillId="0" borderId="0" xfId="0" applyNumberFormat="1" applyFont="1" applyBorder="1" applyAlignment="1" applyProtection="1">
      <alignment horizontal="left" vertical="center"/>
      <protection locked="0"/>
    </xf>
    <xf numFmtId="0" fontId="3" fillId="0" borderId="3" xfId="0" applyNumberFormat="1" applyFont="1" applyBorder="1" applyAlignment="1" applyProtection="1">
      <alignment horizontal="left"/>
      <protection locked="0"/>
    </xf>
    <xf numFmtId="0" fontId="3" fillId="0" borderId="3" xfId="0" applyNumberFormat="1" applyFont="1" applyBorder="1" applyAlignment="1" applyProtection="1">
      <alignment vertical="center"/>
      <protection locked="0"/>
    </xf>
    <xf numFmtId="0" fontId="3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NumberFormat="1" applyFont="1" applyBorder="1" applyAlignment="1" applyProtection="1">
      <alignment horizontal="center"/>
      <protection locked="0"/>
    </xf>
    <xf numFmtId="0" fontId="4" fillId="0" borderId="0" xfId="0" applyNumberFormat="1" applyFont="1" applyBorder="1" applyAlignment="1" applyProtection="1">
      <alignment horizontal="center"/>
      <protection locked="0"/>
    </xf>
    <xf numFmtId="0" fontId="7" fillId="0" borderId="0" xfId="0" applyNumberFormat="1" applyFont="1" applyBorder="1" applyAlignment="1" applyProtection="1">
      <alignment horizontal="left"/>
      <protection locked="0"/>
    </xf>
    <xf numFmtId="0" fontId="3" fillId="0" borderId="0" xfId="0" quotePrefix="1" applyNumberFormat="1" applyFont="1" applyBorder="1" applyProtection="1">
      <protection locked="0"/>
    </xf>
    <xf numFmtId="0" fontId="48" fillId="0" borderId="5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2" fontId="48" fillId="0" borderId="7" xfId="0" applyNumberFormat="1" applyFont="1" applyBorder="1" applyAlignment="1" applyProtection="1">
      <alignment horizontal="center" vertical="center"/>
      <protection locked="0"/>
    </xf>
    <xf numFmtId="0" fontId="48" fillId="0" borderId="3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left" vertical="center"/>
      <protection locked="0"/>
    </xf>
    <xf numFmtId="164" fontId="49" fillId="0" borderId="0" xfId="0" applyNumberFormat="1" applyFont="1" applyBorder="1" applyAlignment="1" applyProtection="1">
      <alignment horizontal="center" vertical="center"/>
      <protection locked="0"/>
    </xf>
    <xf numFmtId="2" fontId="49" fillId="0" borderId="0" xfId="0" applyNumberFormat="1" applyFont="1" applyBorder="1" applyAlignment="1" applyProtection="1">
      <alignment horizontal="center" vertical="center"/>
      <protection locked="0"/>
    </xf>
    <xf numFmtId="0" fontId="49" fillId="0" borderId="0" xfId="0" applyNumberFormat="1" applyFont="1" applyBorder="1" applyAlignment="1" applyProtection="1">
      <alignment horizontal="center" vertical="center"/>
      <protection locked="0"/>
    </xf>
    <xf numFmtId="0" fontId="50" fillId="0" borderId="0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/>
    </xf>
    <xf numFmtId="0" fontId="0" fillId="0" borderId="0" xfId="0" applyNumberFormat="1" applyBorder="1"/>
    <xf numFmtId="0" fontId="51" fillId="0" borderId="0" xfId="0" applyNumberFormat="1" applyFont="1" applyBorder="1" applyAlignment="1">
      <alignment horizontal="center"/>
    </xf>
    <xf numFmtId="0" fontId="52" fillId="0" borderId="0" xfId="0" applyNumberFormat="1" applyFont="1" applyBorder="1" applyAlignment="1">
      <alignment horizontal="center" vertical="center"/>
    </xf>
    <xf numFmtId="0" fontId="53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/>
    <xf numFmtId="0" fontId="3" fillId="0" borderId="16" xfId="0" applyNumberFormat="1" applyFont="1" applyBorder="1" applyProtection="1">
      <protection locked="0"/>
    </xf>
    <xf numFmtId="0" fontId="3" fillId="0" borderId="8" xfId="0" applyNumberFormat="1" applyFont="1" applyBorder="1" applyProtection="1">
      <protection locked="0"/>
    </xf>
    <xf numFmtId="0" fontId="3" fillId="3" borderId="9" xfId="0" applyNumberFormat="1" applyFont="1" applyFill="1" applyBorder="1" applyAlignment="1" applyProtection="1">
      <protection locked="0"/>
    </xf>
    <xf numFmtId="0" fontId="3" fillId="3" borderId="6" xfId="0" applyNumberFormat="1" applyFont="1" applyFill="1" applyBorder="1" applyAlignment="1" applyProtection="1">
      <protection locked="0"/>
    </xf>
    <xf numFmtId="0" fontId="3" fillId="3" borderId="1" xfId="0" applyNumberFormat="1" applyFont="1" applyFill="1" applyBorder="1" applyAlignment="1" applyProtection="1">
      <protection locked="0"/>
    </xf>
    <xf numFmtId="0" fontId="2" fillId="3" borderId="6" xfId="0" applyNumberFormat="1" applyFont="1" applyFill="1" applyBorder="1" applyAlignment="1" applyProtection="1">
      <protection locked="0"/>
    </xf>
    <xf numFmtId="0" fontId="3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protection locked="0"/>
    </xf>
    <xf numFmtId="0" fontId="54" fillId="0" borderId="0" xfId="0" applyNumberFormat="1" applyFont="1" applyBorder="1" applyAlignment="1" applyProtection="1">
      <protection locked="0"/>
    </xf>
    <xf numFmtId="0" fontId="55" fillId="0" borderId="0" xfId="0" applyNumberFormat="1" applyFont="1" applyBorder="1" applyAlignment="1" applyProtection="1">
      <protection locked="0"/>
    </xf>
    <xf numFmtId="0" fontId="54" fillId="0" borderId="0" xfId="0" quotePrefix="1" applyNumberFormat="1" applyFont="1" applyBorder="1" applyAlignment="1" applyProtection="1">
      <protection locked="0"/>
    </xf>
    <xf numFmtId="0" fontId="17" fillId="0" borderId="0" xfId="0" applyNumberFormat="1" applyFont="1" applyBorder="1" applyAlignment="1" applyProtection="1">
      <protection locked="0"/>
    </xf>
    <xf numFmtId="0" fontId="3" fillId="0" borderId="0" xfId="0" applyNumberFormat="1" applyFont="1" applyBorder="1" applyAlignment="1" applyProtection="1">
      <alignment horizontal="left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Border="1" applyAlignment="1" applyProtection="1">
      <alignment horizontal="left"/>
      <protection locked="0"/>
    </xf>
    <xf numFmtId="0" fontId="51" fillId="0" borderId="0" xfId="0" applyNumberFormat="1" applyFont="1" applyAlignment="1"/>
    <xf numFmtId="0" fontId="3" fillId="0" borderId="10" xfId="0" applyNumberFormat="1" applyFont="1" applyBorder="1" applyAlignment="1" applyProtection="1">
      <protection locked="0"/>
    </xf>
    <xf numFmtId="0" fontId="3" fillId="0" borderId="9" xfId="0" applyNumberFormat="1" applyFont="1" applyBorder="1" applyAlignment="1" applyProtection="1">
      <alignment vertical="center"/>
      <protection locked="0"/>
    </xf>
    <xf numFmtId="0" fontId="19" fillId="0" borderId="7" xfId="0" applyNumberFormat="1" applyFont="1" applyBorder="1" applyAlignment="1">
      <alignment horizontal="center"/>
    </xf>
    <xf numFmtId="0" fontId="3" fillId="0" borderId="1" xfId="0" applyNumberFormat="1" applyFont="1" applyBorder="1" applyAlignment="1" applyProtection="1">
      <alignment vertical="center"/>
      <protection locked="0"/>
    </xf>
    <xf numFmtId="0" fontId="19" fillId="0" borderId="0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27" fillId="0" borderId="0" xfId="0" applyNumberFormat="1" applyFont="1" applyBorder="1" applyAlignment="1" applyProtection="1">
      <alignment horizontal="left" vertical="center" wrapText="1"/>
      <protection locked="0"/>
    </xf>
    <xf numFmtId="0" fontId="35" fillId="0" borderId="0" xfId="0" applyNumberFormat="1" applyFont="1" applyBorder="1" applyAlignment="1" applyProtection="1">
      <alignment horizontal="left"/>
      <protection locked="0"/>
    </xf>
    <xf numFmtId="0" fontId="35" fillId="0" borderId="0" xfId="0" applyNumberFormat="1" applyFont="1" applyBorder="1" applyAlignment="1" applyProtection="1">
      <protection locked="0"/>
    </xf>
    <xf numFmtId="0" fontId="56" fillId="0" borderId="0" xfId="0" applyNumberFormat="1" applyFont="1" applyBorder="1" applyAlignment="1" applyProtection="1">
      <protection locked="0"/>
    </xf>
    <xf numFmtId="0" fontId="14" fillId="0" borderId="0" xfId="0" applyNumberFormat="1" applyFont="1" applyBorder="1" applyProtection="1">
      <protection locked="0"/>
    </xf>
    <xf numFmtId="0" fontId="48" fillId="0" borderId="0" xfId="0" applyNumberFormat="1" applyFont="1" applyBorder="1" applyAlignment="1" applyProtection="1">
      <alignment horizontal="center" vertical="center"/>
      <protection locked="0"/>
    </xf>
    <xf numFmtId="0" fontId="3" fillId="0" borderId="17" xfId="0" applyNumberFormat="1" applyFont="1" applyBorder="1" applyProtection="1">
      <protection locked="0"/>
    </xf>
    <xf numFmtId="0" fontId="3" fillId="0" borderId="7" xfId="0" applyNumberFormat="1" applyFont="1" applyBorder="1" applyProtection="1">
      <protection locked="0"/>
    </xf>
    <xf numFmtId="0" fontId="40" fillId="0" borderId="0" xfId="0" applyFont="1"/>
    <xf numFmtId="0" fontId="14" fillId="0" borderId="0" xfId="0" applyNumberFormat="1" applyFont="1" applyProtection="1">
      <protection locked="0"/>
    </xf>
    <xf numFmtId="0" fontId="24" fillId="4" borderId="11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/>
    </xf>
    <xf numFmtId="0" fontId="24" fillId="4" borderId="12" xfId="0" applyFont="1" applyFill="1" applyBorder="1" applyAlignment="1">
      <alignment horizontal="center" vertical="center" wrapText="1"/>
    </xf>
    <xf numFmtId="0" fontId="41" fillId="0" borderId="0" xfId="0" applyNumberFormat="1" applyFont="1" applyProtection="1">
      <protection locked="0"/>
    </xf>
    <xf numFmtId="0" fontId="44" fillId="4" borderId="11" xfId="0" applyFont="1" applyFill="1" applyBorder="1" applyAlignment="1">
      <alignment horizontal="center" vertical="center" wrapText="1"/>
    </xf>
    <xf numFmtId="0" fontId="25" fillId="0" borderId="0" xfId="0" applyNumberFormat="1" applyFont="1" applyBorder="1" applyProtection="1">
      <protection locked="0"/>
    </xf>
    <xf numFmtId="0" fontId="25" fillId="0" borderId="2" xfId="0" applyNumberFormat="1" applyFont="1" applyBorder="1" applyProtection="1">
      <protection locked="0"/>
    </xf>
    <xf numFmtId="0" fontId="57" fillId="6" borderId="12" xfId="0" applyFont="1" applyFill="1" applyBorder="1" applyAlignment="1">
      <alignment horizontal="center" vertical="center" wrapText="1"/>
    </xf>
    <xf numFmtId="0" fontId="58" fillId="6" borderId="12" xfId="0" applyFont="1" applyFill="1" applyBorder="1" applyAlignment="1">
      <alignment horizontal="center" vertical="center" wrapText="1"/>
    </xf>
    <xf numFmtId="0" fontId="56" fillId="11" borderId="12" xfId="0" applyFont="1" applyFill="1" applyBorder="1" applyAlignment="1">
      <alignment horizontal="center"/>
    </xf>
    <xf numFmtId="0" fontId="45" fillId="4" borderId="12" xfId="0" applyFont="1" applyFill="1" applyBorder="1" applyAlignment="1">
      <alignment horizontal="center" vertical="center" wrapText="1"/>
    </xf>
    <xf numFmtId="164" fontId="49" fillId="0" borderId="9" xfId="0" applyNumberFormat="1" applyFont="1" applyBorder="1" applyAlignment="1" applyProtection="1">
      <alignment horizontal="center" vertical="center"/>
      <protection locked="0"/>
    </xf>
    <xf numFmtId="164" fontId="49" fillId="0" borderId="7" xfId="0" applyNumberFormat="1" applyFont="1" applyBorder="1" applyAlignment="1" applyProtection="1">
      <alignment horizontal="center" vertical="center"/>
      <protection locked="0"/>
    </xf>
    <xf numFmtId="164" fontId="49" fillId="0" borderId="1" xfId="0" applyNumberFormat="1" applyFont="1" applyBorder="1" applyAlignment="1" applyProtection="1">
      <alignment horizontal="center" vertical="center"/>
      <protection locked="0"/>
    </xf>
    <xf numFmtId="164" fontId="49" fillId="0" borderId="0" xfId="0" applyNumberFormat="1" applyFont="1" applyBorder="1" applyAlignment="1" applyProtection="1">
      <alignment horizontal="center" vertical="center"/>
      <protection locked="0"/>
    </xf>
    <xf numFmtId="164" fontId="49" fillId="0" borderId="6" xfId="0" applyNumberFormat="1" applyFont="1" applyBorder="1" applyAlignment="1" applyProtection="1">
      <alignment horizontal="center" vertical="center"/>
      <protection locked="0"/>
    </xf>
    <xf numFmtId="164" fontId="49" fillId="0" borderId="3" xfId="0" applyNumberFormat="1" applyFont="1" applyBorder="1" applyAlignment="1" applyProtection="1">
      <alignment horizontal="center" vertical="center"/>
      <protection locked="0"/>
    </xf>
    <xf numFmtId="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Border="1" applyAlignment="1" applyProtection="1">
      <alignment horizontal="left" vertical="center"/>
      <protection locked="0"/>
    </xf>
    <xf numFmtId="0" fontId="3" fillId="0" borderId="5" xfId="0" applyNumberFormat="1" applyFont="1" applyBorder="1" applyAlignment="1" applyProtection="1">
      <alignment horizontal="left" vertical="center"/>
      <protection locked="0"/>
    </xf>
    <xf numFmtId="0" fontId="3" fillId="0" borderId="8" xfId="0" applyNumberFormat="1" applyFont="1" applyBorder="1" applyAlignment="1" applyProtection="1">
      <alignment horizontal="left" vertical="center"/>
      <protection locked="0"/>
    </xf>
    <xf numFmtId="0" fontId="54" fillId="5" borderId="14" xfId="0" applyNumberFormat="1" applyFont="1" applyFill="1" applyBorder="1" applyAlignment="1" applyProtection="1">
      <alignment horizontal="center" vertical="center"/>
      <protection locked="0"/>
    </xf>
    <xf numFmtId="0" fontId="54" fillId="5" borderId="8" xfId="0" applyNumberFormat="1" applyFont="1" applyFill="1" applyBorder="1" applyAlignment="1" applyProtection="1">
      <alignment horizontal="center" vertical="center"/>
      <protection locked="0"/>
    </xf>
    <xf numFmtId="0" fontId="54" fillId="0" borderId="14" xfId="0" applyNumberFormat="1" applyFont="1" applyBorder="1" applyAlignment="1" applyProtection="1">
      <alignment horizontal="center" vertical="center"/>
      <protection locked="0"/>
    </xf>
    <xf numFmtId="0" fontId="54" fillId="0" borderId="8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2" fontId="49" fillId="0" borderId="14" xfId="0" applyNumberFormat="1" applyFont="1" applyBorder="1" applyAlignment="1" applyProtection="1">
      <alignment horizontal="center" vertical="center"/>
      <protection locked="0"/>
    </xf>
    <xf numFmtId="2" fontId="49" fillId="0" borderId="8" xfId="0" applyNumberFormat="1" applyFont="1" applyBorder="1" applyAlignment="1" applyProtection="1">
      <alignment horizontal="center" vertical="center"/>
      <protection locked="0"/>
    </xf>
    <xf numFmtId="0" fontId="3" fillId="8" borderId="14" xfId="0" applyNumberFormat="1" applyFont="1" applyFill="1" applyBorder="1" applyAlignment="1" applyProtection="1">
      <alignment horizontal="left" vertical="center"/>
      <protection locked="0"/>
    </xf>
    <xf numFmtId="0" fontId="3" fillId="8" borderId="5" xfId="0" applyNumberFormat="1" applyFont="1" applyFill="1" applyBorder="1" applyAlignment="1" applyProtection="1">
      <alignment horizontal="left" vertical="center"/>
      <protection locked="0"/>
    </xf>
    <xf numFmtId="0" fontId="3" fillId="8" borderId="8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NumberFormat="1" applyFont="1" applyBorder="1" applyAlignment="1" applyProtection="1">
      <alignment horizontal="left" vertical="center"/>
      <protection locked="0"/>
    </xf>
    <xf numFmtId="0" fontId="3" fillId="3" borderId="14" xfId="0" applyNumberFormat="1" applyFont="1" applyFill="1" applyBorder="1" applyAlignment="1" applyProtection="1">
      <alignment horizontal="center" vertical="center"/>
      <protection locked="0"/>
    </xf>
    <xf numFmtId="0" fontId="3" fillId="3" borderId="5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5" xfId="0" applyBorder="1"/>
    <xf numFmtId="0" fontId="0" fillId="0" borderId="8" xfId="0" applyBorder="1"/>
    <xf numFmtId="0" fontId="3" fillId="0" borderId="0" xfId="0" applyNumberFormat="1" applyFont="1" applyBorder="1" applyAlignment="1" applyProtection="1">
      <alignment horizontal="center"/>
      <protection locked="0"/>
    </xf>
    <xf numFmtId="0" fontId="3" fillId="0" borderId="7" xfId="0" applyNumberFormat="1" applyFont="1" applyBorder="1" applyAlignment="1" applyProtection="1">
      <alignment horizontal="center"/>
      <protection locked="0"/>
    </xf>
    <xf numFmtId="0" fontId="1" fillId="0" borderId="0" xfId="0" applyNumberFormat="1" applyFont="1" applyBorder="1" applyAlignment="1" applyProtection="1">
      <alignment horizontal="center"/>
      <protection locked="0"/>
    </xf>
    <xf numFmtId="0" fontId="3" fillId="0" borderId="0" xfId="0" applyNumberFormat="1" applyFont="1" applyBorder="1" applyAlignment="1" applyProtection="1">
      <alignment horizontal="left"/>
      <protection locked="0"/>
    </xf>
    <xf numFmtId="0" fontId="25" fillId="3" borderId="14" xfId="0" applyNumberFormat="1" applyFont="1" applyFill="1" applyBorder="1" applyAlignment="1" applyProtection="1">
      <alignment horizontal="center" vertical="center"/>
      <protection locked="0"/>
    </xf>
    <xf numFmtId="0" fontId="25" fillId="3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8" xfId="0" applyNumberFormat="1" applyFont="1" applyFill="1" applyBorder="1" applyAlignment="1" applyProtection="1">
      <alignment horizontal="center" vertical="center"/>
      <protection locked="0"/>
    </xf>
    <xf numFmtId="0" fontId="3" fillId="0" borderId="10" xfId="0" applyNumberFormat="1" applyFont="1" applyBorder="1" applyAlignment="1" applyProtection="1">
      <alignment horizontal="center"/>
      <protection locked="0"/>
    </xf>
    <xf numFmtId="2" fontId="49" fillId="0" borderId="9" xfId="0" applyNumberFormat="1" applyFont="1" applyBorder="1" applyAlignment="1" applyProtection="1">
      <alignment horizontal="center" vertical="center"/>
      <protection locked="0"/>
    </xf>
    <xf numFmtId="2" fontId="49" fillId="0" borderId="7" xfId="0" applyNumberFormat="1" applyFont="1" applyBorder="1" applyAlignment="1" applyProtection="1">
      <alignment horizontal="center" vertical="center"/>
      <protection locked="0"/>
    </xf>
    <xf numFmtId="2" fontId="49" fillId="0" borderId="13" xfId="0" applyNumberFormat="1" applyFont="1" applyBorder="1" applyAlignment="1" applyProtection="1">
      <alignment horizontal="center" vertical="center"/>
      <protection locked="0"/>
    </xf>
    <xf numFmtId="2" fontId="49" fillId="0" borderId="1" xfId="0" applyNumberFormat="1" applyFont="1" applyBorder="1" applyAlignment="1" applyProtection="1">
      <alignment horizontal="center" vertical="center"/>
      <protection locked="0"/>
    </xf>
    <xf numFmtId="2" fontId="49" fillId="0" borderId="0" xfId="0" applyNumberFormat="1" applyFont="1" applyBorder="1" applyAlignment="1" applyProtection="1">
      <alignment horizontal="center" vertical="center"/>
      <protection locked="0"/>
    </xf>
    <xf numFmtId="2" fontId="49" fillId="0" borderId="2" xfId="0" applyNumberFormat="1" applyFont="1" applyBorder="1" applyAlignment="1" applyProtection="1">
      <alignment horizontal="center" vertical="center"/>
      <protection locked="0"/>
    </xf>
    <xf numFmtId="2" fontId="49" fillId="0" borderId="6" xfId="0" applyNumberFormat="1" applyFont="1" applyBorder="1" applyAlignment="1" applyProtection="1">
      <alignment horizontal="center" vertical="center"/>
      <protection locked="0"/>
    </xf>
    <xf numFmtId="2" fontId="49" fillId="0" borderId="3" xfId="0" applyNumberFormat="1" applyFont="1" applyBorder="1" applyAlignment="1" applyProtection="1">
      <alignment horizontal="center" vertical="center"/>
      <protection locked="0"/>
    </xf>
    <xf numFmtId="2" fontId="49" fillId="0" borderId="4" xfId="0" applyNumberFormat="1" applyFont="1" applyBorder="1" applyAlignment="1" applyProtection="1">
      <alignment horizontal="center" vertical="center"/>
      <protection locked="0"/>
    </xf>
    <xf numFmtId="0" fontId="16" fillId="0" borderId="0" xfId="0" quotePrefix="1" applyNumberFormat="1" applyFont="1" applyBorder="1" applyAlignment="1" applyProtection="1">
      <alignment horizontal="center"/>
      <protection locked="0"/>
    </xf>
    <xf numFmtId="0" fontId="16" fillId="0" borderId="0" xfId="0" applyNumberFormat="1" applyFont="1" applyBorder="1" applyAlignment="1" applyProtection="1">
      <alignment horizontal="center"/>
      <protection locked="0"/>
    </xf>
    <xf numFmtId="0" fontId="59" fillId="0" borderId="0" xfId="0" applyNumberFormat="1" applyFont="1" applyBorder="1" applyAlignment="1" applyProtection="1">
      <alignment horizontal="left"/>
      <protection locked="0"/>
    </xf>
    <xf numFmtId="0" fontId="35" fillId="0" borderId="0" xfId="0" applyNumberFormat="1" applyFont="1" applyBorder="1" applyAlignment="1" applyProtection="1">
      <alignment horizontal="left"/>
      <protection locked="0"/>
    </xf>
    <xf numFmtId="0" fontId="3" fillId="0" borderId="3" xfId="0" applyNumberFormat="1" applyFont="1" applyBorder="1" applyAlignment="1" applyProtection="1">
      <alignment horizontal="center"/>
      <protection locked="0"/>
    </xf>
    <xf numFmtId="0" fontId="14" fillId="0" borderId="0" xfId="0" applyNumberFormat="1" applyFont="1" applyBorder="1" applyAlignment="1" applyProtection="1">
      <alignment horizontal="left"/>
      <protection locked="0"/>
    </xf>
    <xf numFmtId="0" fontId="3" fillId="0" borderId="0" xfId="0" applyNumberFormat="1" applyFont="1" applyBorder="1" applyAlignment="1" applyProtection="1">
      <alignment horizontal="left" vertical="center" wrapText="1"/>
      <protection locked="0"/>
    </xf>
    <xf numFmtId="0" fontId="3" fillId="3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9" fillId="8" borderId="14" xfId="0" applyNumberFormat="1" applyFont="1" applyFill="1" applyBorder="1" applyAlignment="1" applyProtection="1">
      <alignment horizontal="left" vertical="center"/>
      <protection locked="0"/>
    </xf>
    <xf numFmtId="0" fontId="59" fillId="8" borderId="5" xfId="0" applyNumberFormat="1" applyFont="1" applyFill="1" applyBorder="1" applyAlignment="1" applyProtection="1">
      <alignment horizontal="left" vertical="center"/>
      <protection locked="0"/>
    </xf>
    <xf numFmtId="0" fontId="59" fillId="8" borderId="8" xfId="0" applyNumberFormat="1" applyFont="1" applyFill="1" applyBorder="1" applyAlignment="1" applyProtection="1">
      <alignment horizontal="left" vertical="center"/>
      <protection locked="0"/>
    </xf>
    <xf numFmtId="164" fontId="49" fillId="0" borderId="13" xfId="0" applyNumberFormat="1" applyFont="1" applyBorder="1" applyAlignment="1" applyProtection="1">
      <alignment horizontal="center" vertical="center"/>
      <protection locked="0"/>
    </xf>
    <xf numFmtId="164" fontId="49" fillId="0" borderId="2" xfId="0" applyNumberFormat="1" applyFont="1" applyBorder="1" applyAlignment="1" applyProtection="1">
      <alignment horizontal="center" vertical="center"/>
      <protection locked="0"/>
    </xf>
    <xf numFmtId="164" fontId="49" fillId="0" borderId="4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 wrapText="1"/>
      <protection locked="0"/>
    </xf>
    <xf numFmtId="0" fontId="50" fillId="5" borderId="9" xfId="0" applyFont="1" applyFill="1" applyBorder="1" applyAlignment="1">
      <alignment horizontal="center" vertical="center" wrapText="1"/>
    </xf>
    <xf numFmtId="0" fontId="50" fillId="5" borderId="7" xfId="0" applyFont="1" applyFill="1" applyBorder="1" applyAlignment="1">
      <alignment horizontal="center" vertical="center" wrapText="1"/>
    </xf>
    <xf numFmtId="0" fontId="50" fillId="5" borderId="13" xfId="0" applyFont="1" applyFill="1" applyBorder="1" applyAlignment="1">
      <alignment horizontal="center"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50" fillId="5" borderId="0" xfId="0" applyFont="1" applyFill="1" applyBorder="1" applyAlignment="1">
      <alignment horizontal="center" vertical="center" wrapText="1"/>
    </xf>
    <xf numFmtId="0" fontId="50" fillId="5" borderId="2" xfId="0" applyFont="1" applyFill="1" applyBorder="1" applyAlignment="1">
      <alignment horizontal="center" vertical="center" wrapText="1"/>
    </xf>
    <xf numFmtId="0" fontId="50" fillId="5" borderId="6" xfId="0" applyFont="1" applyFill="1" applyBorder="1" applyAlignment="1">
      <alignment horizontal="center" vertical="center" wrapText="1"/>
    </xf>
    <xf numFmtId="0" fontId="50" fillId="5" borderId="3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center" vertical="center" wrapText="1"/>
    </xf>
    <xf numFmtId="0" fontId="3" fillId="0" borderId="0" xfId="0" quotePrefix="1" applyNumberFormat="1" applyFont="1" applyBorder="1" applyAlignment="1" applyProtection="1">
      <alignment horizontal="center" vertical="center"/>
      <protection locked="0"/>
    </xf>
    <xf numFmtId="0" fontId="7" fillId="0" borderId="3" xfId="0" applyNumberFormat="1" applyFont="1" applyBorder="1" applyAlignment="1" applyProtection="1">
      <alignment horizontal="center"/>
      <protection locked="0"/>
    </xf>
    <xf numFmtId="0" fontId="3" fillId="0" borderId="0" xfId="0" quotePrefix="1" applyNumberFormat="1" applyFont="1" applyBorder="1" applyAlignment="1" applyProtection="1">
      <alignment horizontal="center"/>
      <protection locked="0"/>
    </xf>
    <xf numFmtId="0" fontId="7" fillId="0" borderId="0" xfId="0" applyNumberFormat="1" applyFont="1" applyBorder="1" applyAlignment="1" applyProtection="1">
      <alignment horizontal="center" vertical="center"/>
      <protection locked="0"/>
    </xf>
    <xf numFmtId="0" fontId="7" fillId="0" borderId="0" xfId="0" applyNumberFormat="1" applyFont="1" applyBorder="1" applyAlignment="1" applyProtection="1">
      <alignment horizontal="center"/>
      <protection locked="0"/>
    </xf>
    <xf numFmtId="0" fontId="10" fillId="0" borderId="12" xfId="0" applyNumberFormat="1" applyFont="1" applyBorder="1" applyAlignment="1" applyProtection="1">
      <alignment horizontal="center" vertical="center"/>
      <protection locked="0"/>
    </xf>
    <xf numFmtId="0" fontId="10" fillId="5" borderId="14" xfId="0" applyNumberFormat="1" applyFont="1" applyFill="1" applyBorder="1" applyAlignment="1" applyProtection="1">
      <alignment horizontal="center" vertical="center"/>
      <protection locked="0"/>
    </xf>
    <xf numFmtId="0" fontId="10" fillId="5" borderId="8" xfId="0" applyNumberFormat="1" applyFont="1" applyFill="1" applyBorder="1" applyAlignment="1" applyProtection="1">
      <alignment horizontal="center" vertical="center"/>
      <protection locked="0"/>
    </xf>
    <xf numFmtId="0" fontId="24" fillId="3" borderId="14" xfId="0" applyNumberFormat="1" applyFont="1" applyFill="1" applyBorder="1" applyAlignment="1" applyProtection="1">
      <alignment vertical="center"/>
      <protection locked="0"/>
    </xf>
    <xf numFmtId="0" fontId="24" fillId="3" borderId="5" xfId="0" applyNumberFormat="1" applyFont="1" applyFill="1" applyBorder="1" applyAlignment="1" applyProtection="1">
      <alignment vertical="center"/>
      <protection locked="0"/>
    </xf>
    <xf numFmtId="0" fontId="24" fillId="3" borderId="8" xfId="0" applyNumberFormat="1" applyFont="1" applyFill="1" applyBorder="1" applyAlignment="1" applyProtection="1">
      <alignment vertical="center"/>
      <protection locked="0"/>
    </xf>
    <xf numFmtId="2" fontId="49" fillId="0" borderId="12" xfId="0" applyNumberFormat="1" applyFont="1" applyBorder="1" applyAlignment="1" applyProtection="1">
      <alignment horizontal="center" vertical="center"/>
      <protection locked="0"/>
    </xf>
    <xf numFmtId="0" fontId="10" fillId="0" borderId="0" xfId="0" applyNumberFormat="1" applyFont="1" applyBorder="1" applyAlignment="1" applyProtection="1">
      <alignment horizontal="center"/>
      <protection locked="0"/>
    </xf>
    <xf numFmtId="0" fontId="3" fillId="3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NumberFormat="1" applyFont="1" applyFill="1" applyBorder="1" applyAlignment="1" applyProtection="1">
      <alignment horizontal="center" vertical="center"/>
      <protection locked="0"/>
    </xf>
    <xf numFmtId="0" fontId="3" fillId="3" borderId="13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0" xfId="0" applyNumberFormat="1" applyFont="1" applyFill="1" applyBorder="1" applyAlignment="1" applyProtection="1">
      <alignment horizontal="center" vertical="center"/>
      <protection locked="0"/>
    </xf>
    <xf numFmtId="0" fontId="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3" borderId="6" xfId="0" applyNumberFormat="1" applyFont="1" applyFill="1" applyBorder="1" applyAlignment="1" applyProtection="1">
      <alignment horizontal="center" vertical="center"/>
      <protection locked="0"/>
    </xf>
    <xf numFmtId="0" fontId="3" fillId="3" borderId="3" xfId="0" applyNumberFormat="1" applyFont="1" applyFill="1" applyBorder="1" applyAlignment="1" applyProtection="1">
      <alignment horizontal="center" vertical="center"/>
      <protection locked="0"/>
    </xf>
    <xf numFmtId="0" fontId="3" fillId="3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7" xfId="0" applyNumberFormat="1" applyFont="1" applyBorder="1" applyAlignment="1" applyProtection="1">
      <alignment horizontal="center"/>
      <protection locked="0"/>
    </xf>
    <xf numFmtId="0" fontId="3" fillId="0" borderId="9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6" xfId="0" applyNumberFormat="1" applyFont="1" applyBorder="1" applyAlignment="1" applyProtection="1">
      <alignment horizontal="center"/>
      <protection locked="0"/>
    </xf>
    <xf numFmtId="0" fontId="3" fillId="0" borderId="15" xfId="0" applyNumberFormat="1" applyFont="1" applyBorder="1" applyAlignment="1" applyProtection="1">
      <alignment horizontal="center" vertical="center"/>
      <protection locked="0"/>
    </xf>
    <xf numFmtId="0" fontId="6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1" xfId="0" applyNumberFormat="1" applyFont="1" applyBorder="1" applyAlignment="1" applyProtection="1">
      <alignment horizontal="center" vertical="center"/>
      <protection locked="0"/>
    </xf>
    <xf numFmtId="0" fontId="3" fillId="0" borderId="7" xfId="0" quotePrefix="1" applyNumberFormat="1" applyFont="1" applyBorder="1" applyAlignment="1" applyProtection="1">
      <alignment horizontal="center" vertical="center"/>
      <protection locked="0"/>
    </xf>
    <xf numFmtId="0" fontId="10" fillId="0" borderId="0" xfId="0" applyNumberFormat="1" applyFont="1" applyBorder="1" applyAlignment="1" applyProtection="1">
      <alignment horizontal="left"/>
      <protection locked="0"/>
    </xf>
    <xf numFmtId="0" fontId="3" fillId="0" borderId="7" xfId="0" quotePrefix="1" applyNumberFormat="1" applyFont="1" applyBorder="1" applyAlignment="1" applyProtection="1">
      <alignment horizontal="center"/>
      <protection locked="0"/>
    </xf>
    <xf numFmtId="0" fontId="9" fillId="0" borderId="7" xfId="0" quotePrefix="1" applyNumberFormat="1" applyFont="1" applyBorder="1" applyAlignment="1" applyProtection="1">
      <alignment horizontal="center"/>
      <protection locked="0"/>
    </xf>
    <xf numFmtId="0" fontId="9" fillId="0" borderId="7" xfId="0" applyNumberFormat="1" applyFont="1" applyBorder="1" applyAlignment="1" applyProtection="1">
      <alignment horizontal="center"/>
      <protection locked="0"/>
    </xf>
    <xf numFmtId="0" fontId="7" fillId="0" borderId="0" xfId="0" applyNumberFormat="1" applyFont="1" applyBorder="1" applyAlignment="1" applyProtection="1">
      <alignment horizontal="left"/>
      <protection locked="0"/>
    </xf>
    <xf numFmtId="0" fontId="15" fillId="2" borderId="9" xfId="0" applyNumberFormat="1" applyFont="1" applyFill="1" applyBorder="1" applyAlignment="1" applyProtection="1">
      <alignment horizontal="center" vertical="center"/>
      <protection locked="0"/>
    </xf>
    <xf numFmtId="0" fontId="15" fillId="2" borderId="7" xfId="0" applyNumberFormat="1" applyFont="1" applyFill="1" applyBorder="1" applyAlignment="1" applyProtection="1">
      <alignment horizontal="center" vertical="center"/>
      <protection locked="0"/>
    </xf>
    <xf numFmtId="0" fontId="15" fillId="2" borderId="13" xfId="0" applyNumberFormat="1" applyFont="1" applyFill="1" applyBorder="1" applyAlignment="1" applyProtection="1">
      <alignment horizontal="center" vertical="center"/>
      <protection locked="0"/>
    </xf>
    <xf numFmtId="0" fontId="27" fillId="3" borderId="14" xfId="0" applyFont="1" applyFill="1" applyBorder="1" applyAlignment="1">
      <alignment horizontal="center" vertical="center" wrapText="1" shrinkToFit="1"/>
    </xf>
    <xf numFmtId="0" fontId="27" fillId="3" borderId="5" xfId="0" applyFont="1" applyFill="1" applyBorder="1" applyAlignment="1">
      <alignment horizontal="center" vertical="center" wrapText="1" shrinkToFit="1"/>
    </xf>
    <xf numFmtId="0" fontId="27" fillId="3" borderId="8" xfId="0" applyFont="1" applyFill="1" applyBorder="1" applyAlignment="1">
      <alignment horizontal="center" vertical="center" wrapText="1" shrinkToFit="1"/>
    </xf>
    <xf numFmtId="0" fontId="3" fillId="0" borderId="15" xfId="0" applyNumberFormat="1" applyFont="1" applyBorder="1" applyAlignment="1" applyProtection="1">
      <alignment horizontal="center"/>
      <protection locked="0"/>
    </xf>
    <xf numFmtId="0" fontId="60" fillId="0" borderId="14" xfId="0" applyNumberFormat="1" applyFont="1" applyBorder="1" applyAlignment="1" applyProtection="1">
      <alignment horizontal="center" vertical="center"/>
      <protection locked="0"/>
    </xf>
    <xf numFmtId="0" fontId="60" fillId="0" borderId="5" xfId="0" applyNumberFormat="1" applyFont="1" applyBorder="1" applyAlignment="1" applyProtection="1">
      <alignment horizontal="center" vertical="center"/>
      <protection locked="0"/>
    </xf>
    <xf numFmtId="0" fontId="60" fillId="0" borderId="8" xfId="0" applyNumberFormat="1" applyFont="1" applyBorder="1" applyAlignment="1" applyProtection="1">
      <alignment horizontal="center" vertical="center"/>
      <protection locked="0"/>
    </xf>
    <xf numFmtId="0" fontId="3" fillId="8" borderId="14" xfId="0" applyNumberFormat="1" applyFont="1" applyFill="1" applyBorder="1" applyAlignment="1" applyProtection="1">
      <alignment horizontal="left" vertical="center" wrapText="1"/>
      <protection locked="0"/>
    </xf>
    <xf numFmtId="0" fontId="3" fillId="8" borderId="5" xfId="0" applyNumberFormat="1" applyFont="1" applyFill="1" applyBorder="1" applyAlignment="1" applyProtection="1">
      <alignment horizontal="left" vertical="center" wrapText="1"/>
      <protection locked="0"/>
    </xf>
    <xf numFmtId="0" fontId="3" fillId="8" borderId="8" xfId="0" applyNumberFormat="1" applyFont="1" applyFill="1" applyBorder="1" applyAlignment="1" applyProtection="1">
      <alignment horizontal="left" vertical="center" wrapText="1"/>
      <protection locked="0"/>
    </xf>
    <xf numFmtId="0" fontId="49" fillId="0" borderId="7" xfId="0" applyNumberFormat="1" applyFont="1" applyBorder="1" applyAlignment="1" applyProtection="1">
      <alignment horizontal="center" vertical="center"/>
      <protection locked="0"/>
    </xf>
    <xf numFmtId="0" fontId="49" fillId="0" borderId="1" xfId="0" applyNumberFormat="1" applyFont="1" applyBorder="1" applyAlignment="1" applyProtection="1">
      <alignment horizontal="center" vertical="center"/>
      <protection locked="0"/>
    </xf>
    <xf numFmtId="0" fontId="49" fillId="0" borderId="0" xfId="0" applyNumberFormat="1" applyFont="1" applyBorder="1" applyAlignment="1" applyProtection="1">
      <alignment horizontal="center" vertical="center"/>
      <protection locked="0"/>
    </xf>
    <xf numFmtId="0" fontId="49" fillId="0" borderId="6" xfId="0" applyNumberFormat="1" applyFont="1" applyBorder="1" applyAlignment="1" applyProtection="1">
      <alignment horizontal="center" vertical="center"/>
      <protection locked="0"/>
    </xf>
    <xf numFmtId="0" fontId="49" fillId="0" borderId="3" xfId="0" applyNumberFormat="1" applyFont="1" applyBorder="1" applyAlignment="1" applyProtection="1">
      <alignment horizontal="center" vertical="center"/>
      <protection locked="0"/>
    </xf>
    <xf numFmtId="0" fontId="59" fillId="0" borderId="0" xfId="0" quotePrefix="1" applyNumberFormat="1" applyFont="1" applyBorder="1" applyAlignment="1" applyProtection="1">
      <alignment horizontal="left"/>
      <protection locked="0"/>
    </xf>
    <xf numFmtId="0" fontId="6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8" fillId="0" borderId="9" xfId="0" applyNumberFormat="1" applyFont="1" applyBorder="1" applyAlignment="1" applyProtection="1">
      <alignment horizontal="center" vertical="center"/>
      <protection locked="0"/>
    </xf>
    <xf numFmtId="0" fontId="48" fillId="0" borderId="7" xfId="0" applyNumberFormat="1" applyFont="1" applyBorder="1" applyAlignment="1" applyProtection="1">
      <alignment horizontal="center" vertical="center"/>
      <protection locked="0"/>
    </xf>
    <xf numFmtId="0" fontId="48" fillId="0" borderId="1" xfId="0" applyNumberFormat="1" applyFont="1" applyBorder="1" applyAlignment="1" applyProtection="1">
      <alignment horizontal="center" vertical="center"/>
      <protection locked="0"/>
    </xf>
    <xf numFmtId="0" fontId="48" fillId="0" borderId="0" xfId="0" applyNumberFormat="1" applyFont="1" applyBorder="1" applyAlignment="1" applyProtection="1">
      <alignment horizontal="center" vertical="center"/>
      <protection locked="0"/>
    </xf>
    <xf numFmtId="0" fontId="48" fillId="0" borderId="6" xfId="0" applyNumberFormat="1" applyFont="1" applyBorder="1" applyAlignment="1" applyProtection="1">
      <alignment horizontal="center" vertical="center"/>
      <protection locked="0"/>
    </xf>
    <xf numFmtId="0" fontId="48" fillId="0" borderId="3" xfId="0" applyNumberFormat="1" applyFont="1" applyBorder="1" applyAlignment="1" applyProtection="1">
      <alignment horizontal="center" vertical="center"/>
      <protection locked="0"/>
    </xf>
    <xf numFmtId="0" fontId="49" fillId="0" borderId="9" xfId="0" applyNumberFormat="1" applyFont="1" applyBorder="1" applyAlignment="1" applyProtection="1">
      <alignment horizontal="center" vertical="center"/>
      <protection locked="0"/>
    </xf>
    <xf numFmtId="0" fontId="15" fillId="9" borderId="14" xfId="0" applyNumberFormat="1" applyFont="1" applyFill="1" applyBorder="1" applyAlignment="1" applyProtection="1">
      <alignment horizontal="center" vertical="center"/>
      <protection locked="0"/>
    </xf>
    <xf numFmtId="0" fontId="15" fillId="9" borderId="5" xfId="0" applyNumberFormat="1" applyFont="1" applyFill="1" applyBorder="1" applyAlignment="1" applyProtection="1">
      <alignment horizontal="center" vertical="center"/>
      <protection locked="0"/>
    </xf>
    <xf numFmtId="0" fontId="15" fillId="9" borderId="8" xfId="0" applyNumberFormat="1" applyFont="1" applyFill="1" applyBorder="1" applyAlignment="1" applyProtection="1">
      <alignment horizontal="center" vertical="center"/>
      <protection locked="0"/>
    </xf>
    <xf numFmtId="0" fontId="62" fillId="6" borderId="14" xfId="0" applyNumberFormat="1" applyFont="1" applyFill="1" applyBorder="1" applyAlignment="1" applyProtection="1">
      <alignment horizontal="center" vertical="center" wrapText="1"/>
      <protection locked="0"/>
    </xf>
    <xf numFmtId="0" fontId="62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62" fillId="6" borderId="8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0" xfId="0" applyNumberFormat="1" applyFont="1" applyBorder="1" applyAlignment="1" applyProtection="1">
      <alignment horizontal="left" vertical="center" wrapText="1"/>
      <protection locked="0"/>
    </xf>
    <xf numFmtId="164" fontId="3" fillId="0" borderId="7" xfId="0" applyNumberFormat="1" applyFont="1" applyBorder="1" applyAlignment="1" applyProtection="1">
      <alignment horizontal="center"/>
      <protection locked="0"/>
    </xf>
    <xf numFmtId="164" fontId="48" fillId="0" borderId="5" xfId="0" applyNumberFormat="1" applyFont="1" applyBorder="1" applyAlignment="1" applyProtection="1">
      <alignment horizontal="center" vertical="center"/>
      <protection locked="0"/>
    </xf>
    <xf numFmtId="0" fontId="57" fillId="6" borderId="14" xfId="0" applyFont="1" applyFill="1" applyBorder="1" applyAlignment="1">
      <alignment horizontal="center" vertical="center" wrapText="1"/>
    </xf>
    <xf numFmtId="0" fontId="57" fillId="6" borderId="8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63" fillId="7" borderId="14" xfId="0" applyFont="1" applyFill="1" applyBorder="1" applyAlignment="1">
      <alignment horizontal="center" vertical="center" wrapText="1"/>
    </xf>
    <xf numFmtId="0" fontId="63" fillId="7" borderId="8" xfId="0" applyFont="1" applyFill="1" applyBorder="1" applyAlignment="1">
      <alignment horizontal="center" vertical="center" wrapText="1"/>
    </xf>
    <xf numFmtId="0" fontId="64" fillId="7" borderId="12" xfId="0" applyFont="1" applyFill="1" applyBorder="1" applyAlignment="1">
      <alignment horizontal="center" vertical="center" wrapText="1"/>
    </xf>
    <xf numFmtId="0" fontId="65" fillId="7" borderId="14" xfId="0" applyFont="1" applyFill="1" applyBorder="1" applyAlignment="1">
      <alignment horizontal="center" vertical="center" wrapText="1"/>
    </xf>
    <xf numFmtId="0" fontId="65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14</xdr:row>
      <xdr:rowOff>76200</xdr:rowOff>
    </xdr:from>
    <xdr:to>
      <xdr:col>16</xdr:col>
      <xdr:colOff>152400</xdr:colOff>
      <xdr:row>19</xdr:row>
      <xdr:rowOff>47625</xdr:rowOff>
    </xdr:to>
    <xdr:grpSp>
      <xdr:nvGrpSpPr>
        <xdr:cNvPr id="291915" name="Group 9"/>
        <xdr:cNvGrpSpPr>
          <a:grpSpLocks/>
        </xdr:cNvGrpSpPr>
      </xdr:nvGrpSpPr>
      <xdr:grpSpPr bwMode="auto">
        <a:xfrm>
          <a:off x="2136531" y="2435469"/>
          <a:ext cx="1767254" cy="814021"/>
          <a:chOff x="198" y="295"/>
          <a:chExt cx="118" cy="52"/>
        </a:xfrm>
      </xdr:grpSpPr>
      <xdr:sp macro="" textlink="">
        <xdr:nvSpPr>
          <xdr:cNvPr id="291940" name="Line 10"/>
          <xdr:cNvSpPr>
            <a:spLocks noChangeShapeType="1"/>
          </xdr:cNvSpPr>
        </xdr:nvSpPr>
        <xdr:spPr bwMode="auto">
          <a:xfrm>
            <a:off x="201" y="334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41" name="Line 11"/>
          <xdr:cNvSpPr>
            <a:spLocks noChangeShapeType="1"/>
          </xdr:cNvSpPr>
        </xdr:nvSpPr>
        <xdr:spPr bwMode="auto">
          <a:xfrm>
            <a:off x="201" y="321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42" name="AutoShape 12"/>
          <xdr:cNvSpPr>
            <a:spLocks noChangeArrowheads="1"/>
          </xdr:cNvSpPr>
        </xdr:nvSpPr>
        <xdr:spPr bwMode="auto">
          <a:xfrm>
            <a:off x="198" y="331"/>
            <a:ext cx="6" cy="6"/>
          </a:xfrm>
          <a:prstGeom prst="flowChartSummingJunction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1943" name="Line 13"/>
          <xdr:cNvSpPr>
            <a:spLocks noChangeShapeType="1"/>
          </xdr:cNvSpPr>
        </xdr:nvSpPr>
        <xdr:spPr bwMode="auto">
          <a:xfrm>
            <a:off x="243" y="334"/>
            <a:ext cx="6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44" name="Line 14"/>
          <xdr:cNvSpPr>
            <a:spLocks noChangeShapeType="1"/>
          </xdr:cNvSpPr>
        </xdr:nvSpPr>
        <xdr:spPr bwMode="auto">
          <a:xfrm rot="10800000" flipV="1">
            <a:off x="289" y="295"/>
            <a:ext cx="16" cy="33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45" name="Line 15"/>
          <xdr:cNvSpPr>
            <a:spLocks noChangeShapeType="1"/>
          </xdr:cNvSpPr>
        </xdr:nvSpPr>
        <xdr:spPr bwMode="auto">
          <a:xfrm>
            <a:off x="305" y="295"/>
            <a:ext cx="11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91946" name="Group 16"/>
          <xdr:cNvGrpSpPr>
            <a:grpSpLocks/>
          </xdr:cNvGrpSpPr>
        </xdr:nvGrpSpPr>
        <xdr:grpSpPr bwMode="auto">
          <a:xfrm>
            <a:off x="284" y="330"/>
            <a:ext cx="7" cy="7"/>
            <a:chOff x="263" y="3173"/>
            <a:chExt cx="7" cy="7"/>
          </a:xfrm>
        </xdr:grpSpPr>
        <xdr:sp macro="" textlink="">
          <xdr:nvSpPr>
            <xdr:cNvPr id="291948" name="Line 17"/>
            <xdr:cNvSpPr>
              <a:spLocks noChangeShapeType="1"/>
            </xdr:cNvSpPr>
          </xdr:nvSpPr>
          <xdr:spPr bwMode="auto">
            <a:xfrm rot="10800000" flipH="1">
              <a:off x="263" y="3173"/>
              <a:ext cx="7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1949" name="Line 18"/>
            <xdr:cNvSpPr>
              <a:spLocks noChangeShapeType="1"/>
            </xdr:cNvSpPr>
          </xdr:nvSpPr>
          <xdr:spPr bwMode="auto">
            <a:xfrm rot="10800000">
              <a:off x="263" y="3173"/>
              <a:ext cx="6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91947" name="Freeform 19"/>
          <xdr:cNvSpPr>
            <a:spLocks/>
          </xdr:cNvSpPr>
        </xdr:nvSpPr>
        <xdr:spPr bwMode="auto">
          <a:xfrm>
            <a:off x="231" y="329"/>
            <a:ext cx="12" cy="9"/>
          </a:xfrm>
          <a:custGeom>
            <a:avLst/>
            <a:gdLst>
              <a:gd name="T0" fmla="*/ 0 w 16"/>
              <a:gd name="T1" fmla="*/ 2 h 12"/>
              <a:gd name="T2" fmla="*/ 2 w 16"/>
              <a:gd name="T3" fmla="*/ 0 h 12"/>
              <a:gd name="T4" fmla="*/ 2 w 16"/>
              <a:gd name="T5" fmla="*/ 2 h 12"/>
              <a:gd name="T6" fmla="*/ 2 w 16"/>
              <a:gd name="T7" fmla="*/ 0 h 12"/>
              <a:gd name="T8" fmla="*/ 2 w 16"/>
              <a:gd name="T9" fmla="*/ 2 h 12"/>
              <a:gd name="T10" fmla="*/ 2 w 16"/>
              <a:gd name="T11" fmla="*/ 2 h 12"/>
              <a:gd name="T12" fmla="*/ 0 60000 65536"/>
              <a:gd name="T13" fmla="*/ 0 60000 65536"/>
              <a:gd name="T14" fmla="*/ 0 60000 65536"/>
              <a:gd name="T15" fmla="*/ 0 60000 65536"/>
              <a:gd name="T16" fmla="*/ 0 60000 65536"/>
              <a:gd name="T17" fmla="*/ 0 60000 65536"/>
              <a:gd name="T18" fmla="*/ 0 w 16"/>
              <a:gd name="T19" fmla="*/ 0 h 12"/>
              <a:gd name="T20" fmla="*/ 16 w 16"/>
              <a:gd name="T21" fmla="*/ 12 h 12"/>
            </a:gdLst>
            <a:ahLst/>
            <a:cxnLst>
              <a:cxn ang="T12">
                <a:pos x="T0" y="T1"/>
              </a:cxn>
              <a:cxn ang="T13">
                <a:pos x="T2" y="T3"/>
              </a:cxn>
              <a:cxn ang="T14">
                <a:pos x="T4" y="T5"/>
              </a:cxn>
              <a:cxn ang="T15">
                <a:pos x="T6" y="T7"/>
              </a:cxn>
              <a:cxn ang="T16">
                <a:pos x="T8" y="T9"/>
              </a:cxn>
              <a:cxn ang="T17">
                <a:pos x="T10" y="T11"/>
              </a:cxn>
            </a:cxnLst>
            <a:rect l="T18" t="T19" r="T20" b="T21"/>
            <a:pathLst>
              <a:path w="16" h="12">
                <a:moveTo>
                  <a:pt x="0" y="6"/>
                </a:moveTo>
                <a:cubicBezTo>
                  <a:pt x="2" y="4"/>
                  <a:pt x="3" y="2"/>
                  <a:pt x="4" y="0"/>
                </a:cubicBezTo>
                <a:cubicBezTo>
                  <a:pt x="5" y="4"/>
                  <a:pt x="7" y="12"/>
                  <a:pt x="7" y="12"/>
                </a:cubicBezTo>
                <a:cubicBezTo>
                  <a:pt x="9" y="8"/>
                  <a:pt x="10" y="4"/>
                  <a:pt x="11" y="0"/>
                </a:cubicBezTo>
                <a:cubicBezTo>
                  <a:pt x="12" y="4"/>
                  <a:pt x="12" y="8"/>
                  <a:pt x="14" y="11"/>
                </a:cubicBezTo>
                <a:cubicBezTo>
                  <a:pt x="15" y="9"/>
                  <a:pt x="16" y="6"/>
                  <a:pt x="16" y="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114300</xdr:colOff>
      <xdr:row>14</xdr:row>
      <xdr:rowOff>76200</xdr:rowOff>
    </xdr:from>
    <xdr:to>
      <xdr:col>16</xdr:col>
      <xdr:colOff>152400</xdr:colOff>
      <xdr:row>19</xdr:row>
      <xdr:rowOff>47625</xdr:rowOff>
    </xdr:to>
    <xdr:grpSp>
      <xdr:nvGrpSpPr>
        <xdr:cNvPr id="291916" name="Group 9"/>
        <xdr:cNvGrpSpPr>
          <a:grpSpLocks/>
        </xdr:cNvGrpSpPr>
      </xdr:nvGrpSpPr>
      <xdr:grpSpPr bwMode="auto">
        <a:xfrm>
          <a:off x="2136531" y="2435469"/>
          <a:ext cx="1767254" cy="814021"/>
          <a:chOff x="198" y="295"/>
          <a:chExt cx="118" cy="52"/>
        </a:xfrm>
      </xdr:grpSpPr>
      <xdr:sp macro="" textlink="">
        <xdr:nvSpPr>
          <xdr:cNvPr id="291931" name="Line 10"/>
          <xdr:cNvSpPr>
            <a:spLocks noChangeShapeType="1"/>
          </xdr:cNvSpPr>
        </xdr:nvSpPr>
        <xdr:spPr bwMode="auto">
          <a:xfrm>
            <a:off x="201" y="334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32" name="Line 11"/>
          <xdr:cNvSpPr>
            <a:spLocks noChangeShapeType="1"/>
          </xdr:cNvSpPr>
        </xdr:nvSpPr>
        <xdr:spPr bwMode="auto">
          <a:xfrm>
            <a:off x="201" y="321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33" name="AutoShape 12"/>
          <xdr:cNvSpPr>
            <a:spLocks noChangeArrowheads="1"/>
          </xdr:cNvSpPr>
        </xdr:nvSpPr>
        <xdr:spPr bwMode="auto">
          <a:xfrm>
            <a:off x="198" y="331"/>
            <a:ext cx="6" cy="6"/>
          </a:xfrm>
          <a:prstGeom prst="flowChartSummingJunction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1934" name="Line 13"/>
          <xdr:cNvSpPr>
            <a:spLocks noChangeShapeType="1"/>
          </xdr:cNvSpPr>
        </xdr:nvSpPr>
        <xdr:spPr bwMode="auto">
          <a:xfrm>
            <a:off x="243" y="334"/>
            <a:ext cx="6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35" name="Line 15"/>
          <xdr:cNvSpPr>
            <a:spLocks noChangeShapeType="1"/>
          </xdr:cNvSpPr>
        </xdr:nvSpPr>
        <xdr:spPr bwMode="auto">
          <a:xfrm>
            <a:off x="305" y="295"/>
            <a:ext cx="11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91936" name="Group 16"/>
          <xdr:cNvGrpSpPr>
            <a:grpSpLocks/>
          </xdr:cNvGrpSpPr>
        </xdr:nvGrpSpPr>
        <xdr:grpSpPr bwMode="auto">
          <a:xfrm>
            <a:off x="284" y="330"/>
            <a:ext cx="7" cy="7"/>
            <a:chOff x="263" y="3173"/>
            <a:chExt cx="7" cy="7"/>
          </a:xfrm>
        </xdr:grpSpPr>
        <xdr:sp macro="" textlink="">
          <xdr:nvSpPr>
            <xdr:cNvPr id="291938" name="Line 17"/>
            <xdr:cNvSpPr>
              <a:spLocks noChangeShapeType="1"/>
            </xdr:cNvSpPr>
          </xdr:nvSpPr>
          <xdr:spPr bwMode="auto">
            <a:xfrm rot="10800000" flipH="1">
              <a:off x="263" y="3173"/>
              <a:ext cx="7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1939" name="Line 18"/>
            <xdr:cNvSpPr>
              <a:spLocks noChangeShapeType="1"/>
            </xdr:cNvSpPr>
          </xdr:nvSpPr>
          <xdr:spPr bwMode="auto">
            <a:xfrm rot="10800000">
              <a:off x="263" y="3173"/>
              <a:ext cx="6" cy="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91937" name="Freeform 19"/>
          <xdr:cNvSpPr>
            <a:spLocks/>
          </xdr:cNvSpPr>
        </xdr:nvSpPr>
        <xdr:spPr bwMode="auto">
          <a:xfrm>
            <a:off x="231" y="329"/>
            <a:ext cx="12" cy="9"/>
          </a:xfrm>
          <a:custGeom>
            <a:avLst/>
            <a:gdLst>
              <a:gd name="T0" fmla="*/ 0 w 16"/>
              <a:gd name="T1" fmla="*/ 2 h 12"/>
              <a:gd name="T2" fmla="*/ 2 w 16"/>
              <a:gd name="T3" fmla="*/ 0 h 12"/>
              <a:gd name="T4" fmla="*/ 2 w 16"/>
              <a:gd name="T5" fmla="*/ 2 h 12"/>
              <a:gd name="T6" fmla="*/ 2 w 16"/>
              <a:gd name="T7" fmla="*/ 0 h 12"/>
              <a:gd name="T8" fmla="*/ 2 w 16"/>
              <a:gd name="T9" fmla="*/ 2 h 12"/>
              <a:gd name="T10" fmla="*/ 2 w 16"/>
              <a:gd name="T11" fmla="*/ 2 h 12"/>
              <a:gd name="T12" fmla="*/ 0 60000 65536"/>
              <a:gd name="T13" fmla="*/ 0 60000 65536"/>
              <a:gd name="T14" fmla="*/ 0 60000 65536"/>
              <a:gd name="T15" fmla="*/ 0 60000 65536"/>
              <a:gd name="T16" fmla="*/ 0 60000 65536"/>
              <a:gd name="T17" fmla="*/ 0 60000 65536"/>
              <a:gd name="T18" fmla="*/ 0 w 16"/>
              <a:gd name="T19" fmla="*/ 0 h 12"/>
              <a:gd name="T20" fmla="*/ 16 w 16"/>
              <a:gd name="T21" fmla="*/ 12 h 12"/>
            </a:gdLst>
            <a:ahLst/>
            <a:cxnLst>
              <a:cxn ang="T12">
                <a:pos x="T0" y="T1"/>
              </a:cxn>
              <a:cxn ang="T13">
                <a:pos x="T2" y="T3"/>
              </a:cxn>
              <a:cxn ang="T14">
                <a:pos x="T4" y="T5"/>
              </a:cxn>
              <a:cxn ang="T15">
                <a:pos x="T6" y="T7"/>
              </a:cxn>
              <a:cxn ang="T16">
                <a:pos x="T8" y="T9"/>
              </a:cxn>
              <a:cxn ang="T17">
                <a:pos x="T10" y="T11"/>
              </a:cxn>
            </a:cxnLst>
            <a:rect l="T18" t="T19" r="T20" b="T21"/>
            <a:pathLst>
              <a:path w="16" h="12">
                <a:moveTo>
                  <a:pt x="0" y="6"/>
                </a:moveTo>
                <a:cubicBezTo>
                  <a:pt x="2" y="4"/>
                  <a:pt x="3" y="2"/>
                  <a:pt x="4" y="0"/>
                </a:cubicBezTo>
                <a:cubicBezTo>
                  <a:pt x="5" y="4"/>
                  <a:pt x="7" y="12"/>
                  <a:pt x="7" y="12"/>
                </a:cubicBezTo>
                <a:cubicBezTo>
                  <a:pt x="9" y="8"/>
                  <a:pt x="10" y="4"/>
                  <a:pt x="11" y="0"/>
                </a:cubicBezTo>
                <a:cubicBezTo>
                  <a:pt x="12" y="4"/>
                  <a:pt x="12" y="8"/>
                  <a:pt x="14" y="11"/>
                </a:cubicBezTo>
                <a:cubicBezTo>
                  <a:pt x="15" y="9"/>
                  <a:pt x="16" y="6"/>
                  <a:pt x="16" y="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90120</xdr:colOff>
      <xdr:row>16</xdr:row>
      <xdr:rowOff>1464</xdr:rowOff>
    </xdr:from>
    <xdr:to>
      <xdr:col>14</xdr:col>
      <xdr:colOff>109743</xdr:colOff>
      <xdr:row>17</xdr:row>
      <xdr:rowOff>70337</xdr:rowOff>
    </xdr:to>
    <xdr:sp macro="" textlink="">
      <xdr:nvSpPr>
        <xdr:cNvPr id="47667" name="Text Box 21"/>
        <xdr:cNvSpPr txBox="1">
          <a:spLocks noChangeArrowheads="1"/>
        </xdr:cNvSpPr>
      </xdr:nvSpPr>
      <xdr:spPr bwMode="auto">
        <a:xfrm flipV="1">
          <a:off x="3012830" y="2889738"/>
          <a:ext cx="191673" cy="240322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  <a:r>
            <a:rPr lang="en-US" sz="800" b="0" i="0" strike="noStrike" baseline="-25000">
              <a:solidFill>
                <a:srgbClr val="000000"/>
              </a:solidFill>
              <a:latin typeface="Arial"/>
              <a:cs typeface="Arial"/>
            </a:rPr>
            <a:t>sc</a:t>
          </a:r>
          <a:endParaRPr lang="en-US" sz="9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342900</xdr:colOff>
      <xdr:row>25</xdr:row>
      <xdr:rowOff>19050</xdr:rowOff>
    </xdr:from>
    <xdr:to>
      <xdr:col>13</xdr:col>
      <xdr:colOff>9525</xdr:colOff>
      <xdr:row>25</xdr:row>
      <xdr:rowOff>142875</xdr:rowOff>
    </xdr:to>
    <xdr:grpSp>
      <xdr:nvGrpSpPr>
        <xdr:cNvPr id="291918" name="Group 5"/>
        <xdr:cNvGrpSpPr>
          <a:grpSpLocks/>
        </xdr:cNvGrpSpPr>
      </xdr:nvGrpSpPr>
      <xdr:grpSpPr bwMode="auto">
        <a:xfrm>
          <a:off x="2973265" y="4312627"/>
          <a:ext cx="150202" cy="123825"/>
          <a:chOff x="266" y="599"/>
          <a:chExt cx="16" cy="13"/>
        </a:xfrm>
      </xdr:grpSpPr>
      <xdr:sp macro="" textlink="">
        <xdr:nvSpPr>
          <xdr:cNvPr id="291928" name="Line 6"/>
          <xdr:cNvSpPr>
            <a:spLocks noChangeAspect="1" noChangeShapeType="1"/>
          </xdr:cNvSpPr>
        </xdr:nvSpPr>
        <xdr:spPr bwMode="auto">
          <a:xfrm>
            <a:off x="266" y="608"/>
            <a:ext cx="3" cy="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29" name="Line 7"/>
          <xdr:cNvSpPr>
            <a:spLocks noChangeAspect="1" noChangeShapeType="1"/>
          </xdr:cNvSpPr>
        </xdr:nvSpPr>
        <xdr:spPr bwMode="auto">
          <a:xfrm flipV="1">
            <a:off x="269" y="599"/>
            <a:ext cx="6" cy="13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30" name="Line 8"/>
          <xdr:cNvSpPr>
            <a:spLocks noChangeAspect="1" noChangeShapeType="1"/>
          </xdr:cNvSpPr>
        </xdr:nvSpPr>
        <xdr:spPr bwMode="auto">
          <a:xfrm>
            <a:off x="275" y="599"/>
            <a:ext cx="7" cy="0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98195</xdr:colOff>
      <xdr:row>27</xdr:row>
      <xdr:rowOff>108725</xdr:rowOff>
    </xdr:from>
    <xdr:to>
      <xdr:col>21</xdr:col>
      <xdr:colOff>111512</xdr:colOff>
      <xdr:row>27</xdr:row>
      <xdr:rowOff>261125</xdr:rowOff>
    </xdr:to>
    <xdr:sp macro="" textlink="">
      <xdr:nvSpPr>
        <xdr:cNvPr id="158" name="Double Bracket 157"/>
        <xdr:cNvSpPr/>
      </xdr:nvSpPr>
      <xdr:spPr>
        <a:xfrm flipH="1">
          <a:off x="4461110" y="4824762"/>
          <a:ext cx="468658" cy="15240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22</xdr:col>
      <xdr:colOff>174399</xdr:colOff>
      <xdr:row>32</xdr:row>
      <xdr:rowOff>61831</xdr:rowOff>
    </xdr:from>
    <xdr:to>
      <xdr:col>24</xdr:col>
      <xdr:colOff>172199</xdr:colOff>
      <xdr:row>32</xdr:row>
      <xdr:rowOff>214231</xdr:rowOff>
    </xdr:to>
    <xdr:sp macro="" textlink="">
      <xdr:nvSpPr>
        <xdr:cNvPr id="160" name="Double Bracket 159"/>
        <xdr:cNvSpPr/>
      </xdr:nvSpPr>
      <xdr:spPr>
        <a:xfrm flipH="1">
          <a:off x="5173862" y="5748953"/>
          <a:ext cx="467081" cy="15240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133350</xdr:colOff>
      <xdr:row>35</xdr:row>
      <xdr:rowOff>133350</xdr:rowOff>
    </xdr:from>
    <xdr:to>
      <xdr:col>9</xdr:col>
      <xdr:colOff>0</xdr:colOff>
      <xdr:row>36</xdr:row>
      <xdr:rowOff>0</xdr:rowOff>
    </xdr:to>
    <xdr:cxnSp macro="">
      <xdr:nvCxnSpPr>
        <xdr:cNvPr id="291921" name="Straight Connector 186"/>
        <xdr:cNvCxnSpPr>
          <a:cxnSpLocks noChangeShapeType="1"/>
        </xdr:cNvCxnSpPr>
      </xdr:nvCxnSpPr>
      <xdr:spPr bwMode="auto">
        <a:xfrm rot="16200000" flipV="1">
          <a:off x="1757363" y="6434137"/>
          <a:ext cx="95250" cy="47625"/>
        </a:xfrm>
        <a:prstGeom prst="line">
          <a:avLst/>
        </a:prstGeom>
        <a:noFill/>
        <a:ln w="317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130097</xdr:colOff>
      <xdr:row>36</xdr:row>
      <xdr:rowOff>57501</xdr:rowOff>
    </xdr:from>
    <xdr:to>
      <xdr:col>24</xdr:col>
      <xdr:colOff>65547</xdr:colOff>
      <xdr:row>36</xdr:row>
      <xdr:rowOff>170985</xdr:rowOff>
    </xdr:to>
    <xdr:sp macro="" textlink="">
      <xdr:nvSpPr>
        <xdr:cNvPr id="199" name="Double Bracket 198"/>
        <xdr:cNvSpPr/>
      </xdr:nvSpPr>
      <xdr:spPr>
        <a:xfrm flipH="1">
          <a:off x="5129560" y="6571672"/>
          <a:ext cx="404731" cy="113484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152400</xdr:colOff>
      <xdr:row>36</xdr:row>
      <xdr:rowOff>19050</xdr:rowOff>
    </xdr:from>
    <xdr:to>
      <xdr:col>21</xdr:col>
      <xdr:colOff>66675</xdr:colOff>
      <xdr:row>36</xdr:row>
      <xdr:rowOff>142875</xdr:rowOff>
    </xdr:to>
    <xdr:grpSp>
      <xdr:nvGrpSpPr>
        <xdr:cNvPr id="291923" name="Group 5"/>
        <xdr:cNvGrpSpPr>
          <a:grpSpLocks/>
        </xdr:cNvGrpSpPr>
      </xdr:nvGrpSpPr>
      <xdr:grpSpPr bwMode="auto">
        <a:xfrm>
          <a:off x="4768362" y="6437435"/>
          <a:ext cx="141409" cy="123825"/>
          <a:chOff x="266" y="599"/>
          <a:chExt cx="16" cy="13"/>
        </a:xfrm>
      </xdr:grpSpPr>
      <xdr:sp macro="" textlink="">
        <xdr:nvSpPr>
          <xdr:cNvPr id="291925" name="Line 6"/>
          <xdr:cNvSpPr>
            <a:spLocks noChangeAspect="1" noChangeShapeType="1"/>
          </xdr:cNvSpPr>
        </xdr:nvSpPr>
        <xdr:spPr bwMode="auto">
          <a:xfrm>
            <a:off x="266" y="608"/>
            <a:ext cx="3" cy="4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26" name="Line 7"/>
          <xdr:cNvSpPr>
            <a:spLocks noChangeAspect="1" noChangeShapeType="1"/>
          </xdr:cNvSpPr>
        </xdr:nvSpPr>
        <xdr:spPr bwMode="auto">
          <a:xfrm flipV="1">
            <a:off x="269" y="599"/>
            <a:ext cx="6" cy="13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927" name="Line 8"/>
          <xdr:cNvSpPr>
            <a:spLocks noChangeAspect="1" noChangeShapeType="1"/>
          </xdr:cNvSpPr>
        </xdr:nvSpPr>
        <xdr:spPr bwMode="auto">
          <a:xfrm>
            <a:off x="275" y="599"/>
            <a:ext cx="7" cy="0"/>
          </a:xfrm>
          <a:prstGeom prst="line">
            <a:avLst/>
          </a:prstGeom>
          <a:noFill/>
          <a:ln w="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133350</xdr:colOff>
      <xdr:row>20</xdr:row>
      <xdr:rowOff>133350</xdr:rowOff>
    </xdr:from>
    <xdr:to>
      <xdr:col>20</xdr:col>
      <xdr:colOff>0</xdr:colOff>
      <xdr:row>21</xdr:row>
      <xdr:rowOff>0</xdr:rowOff>
    </xdr:to>
    <xdr:cxnSp macro="">
      <xdr:nvCxnSpPr>
        <xdr:cNvPr id="291924" name="Straight Connector 214"/>
        <xdr:cNvCxnSpPr>
          <a:cxnSpLocks noChangeShapeType="1"/>
        </xdr:cNvCxnSpPr>
      </xdr:nvCxnSpPr>
      <xdr:spPr bwMode="auto">
        <a:xfrm rot="16200000" flipV="1">
          <a:off x="4486275" y="3571875"/>
          <a:ext cx="114300" cy="95250"/>
        </a:xfrm>
        <a:prstGeom prst="line">
          <a:avLst/>
        </a:prstGeom>
        <a:noFill/>
        <a:ln w="317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J1747"/>
  <sheetViews>
    <sheetView showZeros="0" tabSelected="1" view="pageBreakPreview" topLeftCell="A79" zoomScale="130" zoomScaleNormal="40" zoomScaleSheetLayoutView="130" zoomScalePageLayoutView="40" workbookViewId="0">
      <selection activeCell="L79" sqref="L79:M79"/>
    </sheetView>
  </sheetViews>
  <sheetFormatPr defaultColWidth="2.7109375" defaultRowHeight="13.5" customHeight="1"/>
  <cols>
    <col min="1" max="1" width="2.7109375" style="1"/>
    <col min="2" max="4" width="2.7109375" style="1" customWidth="1"/>
    <col min="5" max="5" width="3.42578125" style="1" customWidth="1"/>
    <col min="6" max="6" width="4.42578125" style="1" customWidth="1"/>
    <col min="7" max="7" width="3.28515625" style="1" customWidth="1"/>
    <col min="8" max="10" width="2.7109375" style="1" customWidth="1"/>
    <col min="11" max="11" width="3.42578125" style="1" customWidth="1"/>
    <col min="12" max="12" width="5.7109375" style="1" customWidth="1"/>
    <col min="13" max="13" width="7.28515625" style="1" customWidth="1"/>
    <col min="14" max="19" width="3.140625" style="1" customWidth="1"/>
    <col min="20" max="21" width="3.42578125" style="1" customWidth="1"/>
    <col min="22" max="22" width="2.7109375" style="1" customWidth="1"/>
    <col min="23" max="23" width="4.28515625" style="1" customWidth="1"/>
    <col min="24" max="25" width="2.7109375" style="1" customWidth="1"/>
    <col min="26" max="26" width="4.42578125" style="1" customWidth="1"/>
    <col min="27" max="31" width="2.7109375" style="1" customWidth="1"/>
    <col min="32" max="32" width="1.5703125" style="1" customWidth="1"/>
    <col min="33" max="35" width="2.7109375" style="1" hidden="1" customWidth="1"/>
    <col min="36" max="36" width="0.5703125" style="1" hidden="1" customWidth="1"/>
    <col min="37" max="41" width="2.7109375" style="1"/>
    <col min="42" max="42" width="6.7109375" style="1" customWidth="1"/>
    <col min="43" max="43" width="2.7109375" style="1"/>
    <col min="44" max="44" width="6.28515625" style="1" customWidth="1"/>
    <col min="45" max="45" width="2.7109375" style="1"/>
    <col min="46" max="46" width="1" style="1" customWidth="1"/>
    <col min="47" max="47" width="3.7109375" style="1" customWidth="1"/>
    <col min="48" max="48" width="8.28515625" style="1" customWidth="1"/>
    <col min="49" max="16384" width="2.7109375" style="1"/>
  </cols>
  <sheetData>
    <row r="1" spans="2:36" ht="13.5" customHeight="1"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2:36" ht="13.5" customHeight="1">
      <c r="B2" s="128" t="s">
        <v>203</v>
      </c>
      <c r="C2" s="128"/>
      <c r="D2" s="67" t="s">
        <v>0</v>
      </c>
      <c r="E2" s="67"/>
      <c r="F2" s="7" t="s">
        <v>198</v>
      </c>
      <c r="G2" s="79" t="s">
        <v>195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5"/>
      <c r="V2" s="4"/>
      <c r="W2" s="4"/>
      <c r="X2" s="4" t="s">
        <v>199</v>
      </c>
      <c r="Y2" s="4"/>
      <c r="Z2" s="65"/>
      <c r="AA2" s="3" t="s">
        <v>198</v>
      </c>
      <c r="AB2" s="144" t="s">
        <v>275</v>
      </c>
      <c r="AC2" s="144"/>
      <c r="AD2" s="81"/>
      <c r="AE2" s="2"/>
    </row>
    <row r="3" spans="2:36" ht="13.5" customHeight="1">
      <c r="B3" s="2" t="s">
        <v>204</v>
      </c>
      <c r="C3" s="2"/>
      <c r="D3" s="2"/>
      <c r="E3" s="2"/>
      <c r="F3" s="7" t="s">
        <v>198</v>
      </c>
      <c r="G3" s="145" t="s">
        <v>279</v>
      </c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4"/>
      <c r="V3" s="4"/>
      <c r="W3" s="4"/>
      <c r="X3" s="4" t="s">
        <v>200</v>
      </c>
      <c r="Y3" s="66"/>
      <c r="Z3" s="65"/>
      <c r="AA3" s="3" t="s">
        <v>198</v>
      </c>
      <c r="AB3" s="144" t="s">
        <v>182</v>
      </c>
      <c r="AC3" s="144"/>
      <c r="AD3" s="81"/>
      <c r="AE3" s="63"/>
    </row>
    <row r="4" spans="2:36" ht="13.5" customHeight="1">
      <c r="B4" s="4" t="s">
        <v>205</v>
      </c>
      <c r="C4" s="4"/>
      <c r="D4" s="4"/>
      <c r="E4" s="64"/>
      <c r="F4" s="7" t="s">
        <v>198</v>
      </c>
      <c r="G4" s="144" t="s">
        <v>280</v>
      </c>
      <c r="H4" s="144"/>
      <c r="I4" s="144"/>
      <c r="J4" s="144"/>
      <c r="K4" s="144"/>
      <c r="L4" s="80"/>
      <c r="M4" s="80"/>
      <c r="N4" s="80"/>
      <c r="O4" s="80"/>
      <c r="P4" s="80"/>
      <c r="Q4" s="80"/>
      <c r="R4" s="80"/>
      <c r="U4" s="4"/>
      <c r="V4" s="4"/>
      <c r="W4" s="4"/>
      <c r="X4" s="4" t="s">
        <v>201</v>
      </c>
      <c r="Y4" s="4"/>
      <c r="Z4" s="3"/>
      <c r="AA4" s="3" t="s">
        <v>198</v>
      </c>
      <c r="AB4" s="145" t="s">
        <v>196</v>
      </c>
      <c r="AC4" s="145"/>
      <c r="AD4" s="145"/>
      <c r="AE4" s="79"/>
    </row>
    <row r="5" spans="2:36" ht="13.5" customHeight="1">
      <c r="B5" s="4" t="s">
        <v>206</v>
      </c>
      <c r="C5" s="4"/>
      <c r="D5" s="66"/>
      <c r="E5" s="66"/>
      <c r="F5" s="7" t="s">
        <v>198</v>
      </c>
      <c r="G5" s="232" t="s">
        <v>304</v>
      </c>
      <c r="H5" s="232"/>
      <c r="I5" s="232"/>
      <c r="J5" s="232"/>
      <c r="K5" s="232"/>
      <c r="L5" s="4"/>
      <c r="M5" s="4"/>
      <c r="N5" s="145"/>
      <c r="O5" s="145"/>
      <c r="P5" s="145"/>
      <c r="Q5" s="145"/>
      <c r="R5" s="145"/>
      <c r="U5" s="4"/>
      <c r="V5" s="4"/>
      <c r="W5" s="4"/>
      <c r="X5" s="4" t="s">
        <v>202</v>
      </c>
      <c r="Y5" s="4"/>
      <c r="Z5" s="3"/>
      <c r="AA5" s="3" t="s">
        <v>198</v>
      </c>
      <c r="AB5" s="145" t="s">
        <v>197</v>
      </c>
      <c r="AC5" s="145"/>
      <c r="AD5" s="145"/>
      <c r="AE5" s="145"/>
    </row>
    <row r="6" spans="2:36" ht="13.5" customHeight="1" thickBot="1">
      <c r="B6" s="175"/>
      <c r="C6" s="125"/>
      <c r="D6" s="177"/>
      <c r="E6" s="177"/>
      <c r="F6" s="177"/>
      <c r="G6" s="177"/>
      <c r="H6" s="142"/>
      <c r="I6" s="143"/>
      <c r="J6" s="143"/>
      <c r="K6" s="143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200"/>
      <c r="AC6" s="200"/>
      <c r="AD6" s="200"/>
      <c r="AE6" s="200"/>
      <c r="AF6" s="56"/>
    </row>
    <row r="7" spans="2:36" ht="13.5" customHeight="1" thickTop="1">
      <c r="B7" s="84"/>
      <c r="C7" s="84"/>
      <c r="D7" s="84"/>
      <c r="E7" s="84"/>
      <c r="F7" s="84"/>
      <c r="G7" s="84"/>
      <c r="H7" s="84"/>
      <c r="I7" s="84"/>
      <c r="J7" s="84"/>
      <c r="K7" s="84"/>
      <c r="L7" s="84" t="s">
        <v>0</v>
      </c>
      <c r="M7" s="84"/>
      <c r="N7" s="84" t="s">
        <v>0</v>
      </c>
      <c r="O7" s="84" t="s">
        <v>0</v>
      </c>
      <c r="P7" s="84" t="s">
        <v>0</v>
      </c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13"/>
      <c r="AC7" s="13"/>
      <c r="AD7" s="13"/>
      <c r="AE7" s="13"/>
    </row>
    <row r="8" spans="2:36" ht="13.5" customHeight="1">
      <c r="B8" s="214" t="s">
        <v>157</v>
      </c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6"/>
    </row>
    <row r="9" spans="2:36" s="11" customFormat="1" ht="13.5" customHeight="1">
      <c r="B9" s="8" t="s">
        <v>6</v>
      </c>
      <c r="C9" s="9" t="s">
        <v>155</v>
      </c>
      <c r="D9" s="9"/>
      <c r="E9" s="9"/>
      <c r="F9" s="9"/>
      <c r="G9" s="9"/>
      <c r="H9" s="9"/>
      <c r="I9" s="9"/>
      <c r="J9" s="9"/>
      <c r="K9" s="9"/>
      <c r="L9" s="9"/>
      <c r="M9" s="9" t="s"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</row>
    <row r="10" spans="2:36" ht="13.5" customHeight="1">
      <c r="B10" s="12"/>
      <c r="C10" s="13" t="s">
        <v>194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2"/>
      <c r="U10" s="2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4"/>
      <c r="AG10" s="1" t="s">
        <v>0</v>
      </c>
    </row>
    <row r="11" spans="2:36" ht="13.5" customHeight="1">
      <c r="B11" s="12"/>
      <c r="C11" s="13" t="s">
        <v>193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4"/>
    </row>
    <row r="12" spans="2:36" ht="13.5" customHeight="1">
      <c r="B12" s="12"/>
      <c r="C12" s="13" t="s">
        <v>192</v>
      </c>
      <c r="D12" s="13"/>
      <c r="E12" s="13"/>
      <c r="F12" s="13"/>
      <c r="G12" s="13"/>
      <c r="H12" s="13"/>
      <c r="I12" s="13"/>
      <c r="J12" s="13"/>
      <c r="K12" s="13"/>
      <c r="L12" s="13"/>
      <c r="M12" s="15"/>
      <c r="N12" s="15"/>
      <c r="O12" s="15"/>
      <c r="P12" s="15"/>
      <c r="Q12" s="15"/>
      <c r="R12" s="15"/>
      <c r="S12" s="15"/>
      <c r="T12" s="15"/>
      <c r="U12" s="15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/>
    </row>
    <row r="13" spans="2:36" ht="13.5" customHeight="1"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</row>
    <row r="14" spans="2:36" s="11" customFormat="1" ht="13.5" customHeight="1">
      <c r="B14" s="8" t="s">
        <v>7</v>
      </c>
      <c r="C14" s="9" t="s">
        <v>154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71"/>
      <c r="X14" s="71"/>
      <c r="Y14" s="9"/>
      <c r="Z14" s="9"/>
      <c r="AA14" s="9"/>
      <c r="AB14" s="9"/>
      <c r="AC14" s="9"/>
      <c r="AD14" s="9"/>
      <c r="AE14" s="9"/>
      <c r="AF14" s="10"/>
    </row>
    <row r="15" spans="2:36" ht="13.5" customHeight="1">
      <c r="B15" s="12"/>
      <c r="C15" s="4" t="s">
        <v>0</v>
      </c>
      <c r="D15" s="13" t="s">
        <v>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 t="s">
        <v>57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</row>
    <row r="16" spans="2:36" ht="13.5" customHeight="1">
      <c r="B16" s="12"/>
      <c r="C16" s="4" t="s">
        <v>0</v>
      </c>
      <c r="D16" s="13" t="s">
        <v>0</v>
      </c>
      <c r="E16" s="13"/>
      <c r="F16" s="13" t="s">
        <v>63</v>
      </c>
      <c r="G16" s="13"/>
      <c r="H16" s="13"/>
      <c r="I16" s="13"/>
      <c r="J16" s="13"/>
      <c r="K16" s="13"/>
      <c r="L16" s="13"/>
      <c r="M16" s="6" t="s">
        <v>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J16" s="13"/>
    </row>
    <row r="17" spans="2:36" ht="13.5" customHeight="1">
      <c r="B17" s="12"/>
      <c r="C17" s="4" t="s">
        <v>0</v>
      </c>
      <c r="D17" s="13" t="s">
        <v>0</v>
      </c>
      <c r="E17" s="13"/>
      <c r="F17" s="13"/>
      <c r="G17" s="13"/>
      <c r="H17" s="13"/>
      <c r="I17" s="13"/>
      <c r="J17" s="18"/>
      <c r="K17" s="13"/>
      <c r="L17" s="13"/>
      <c r="M17" s="13" t="s">
        <v>236</v>
      </c>
      <c r="N17" s="13"/>
      <c r="O17" s="13"/>
      <c r="P17" s="13"/>
      <c r="Q17" s="17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J17" s="13"/>
    </row>
    <row r="18" spans="2:36" ht="13.5" customHeight="1">
      <c r="B18" s="12"/>
      <c r="C18" s="4"/>
      <c r="D18" s="13"/>
      <c r="E18" s="13"/>
      <c r="F18" s="13"/>
      <c r="G18" s="13"/>
      <c r="H18" s="13"/>
      <c r="I18" s="13"/>
      <c r="J18" s="18"/>
      <c r="K18" s="13"/>
      <c r="L18" s="13"/>
      <c r="M18" s="13"/>
      <c r="N18" s="13"/>
      <c r="O18" s="13"/>
      <c r="P18" s="13"/>
      <c r="Q18" s="17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J18" s="13"/>
    </row>
    <row r="19" spans="2:36" ht="13.5" customHeight="1">
      <c r="B19" s="12"/>
      <c r="C19" s="4"/>
      <c r="D19" s="13"/>
      <c r="E19" s="13"/>
      <c r="F19" s="13"/>
      <c r="G19" s="13"/>
      <c r="H19" s="13"/>
      <c r="I19" s="13"/>
      <c r="J19" s="18"/>
      <c r="K19" s="13"/>
      <c r="L19" s="13"/>
      <c r="M19" s="13"/>
      <c r="N19" s="13"/>
      <c r="O19" s="13"/>
      <c r="P19" s="13"/>
      <c r="Q19" s="17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J19" s="13"/>
    </row>
    <row r="20" spans="2:36" ht="13.5" customHeight="1">
      <c r="B20" s="12"/>
      <c r="C20" s="4" t="s">
        <v>0</v>
      </c>
      <c r="D20" s="13" t="s">
        <v>0</v>
      </c>
      <c r="E20" s="13"/>
      <c r="F20" s="13"/>
      <c r="G20" s="13"/>
      <c r="H20" s="13"/>
      <c r="I20" s="13"/>
      <c r="J20" s="18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21"/>
      <c r="V20" s="21"/>
      <c r="W20" s="27"/>
      <c r="X20" s="4"/>
      <c r="Y20" s="4"/>
      <c r="Z20" s="70"/>
      <c r="AA20" s="3"/>
      <c r="AB20" s="3"/>
      <c r="AC20" s="3"/>
      <c r="AD20" s="13"/>
      <c r="AE20" s="13"/>
      <c r="AF20" s="14"/>
      <c r="AJ20" s="13"/>
    </row>
    <row r="21" spans="2:36" ht="19.899999999999999" customHeight="1">
      <c r="B21" s="12"/>
      <c r="C21" s="4"/>
      <c r="D21" s="13"/>
      <c r="E21" s="13"/>
      <c r="F21" s="51"/>
      <c r="G21" s="233" t="s">
        <v>207</v>
      </c>
      <c r="H21" s="234"/>
      <c r="I21" s="234"/>
      <c r="J21" s="234"/>
      <c r="K21" s="234"/>
      <c r="L21" s="234"/>
      <c r="M21" s="234"/>
      <c r="N21" s="234"/>
      <c r="O21" s="13"/>
      <c r="P21" s="13"/>
      <c r="Q21" s="202" t="s">
        <v>229</v>
      </c>
      <c r="R21" s="203"/>
      <c r="S21" s="68"/>
      <c r="T21" s="77"/>
      <c r="U21" s="75" t="s">
        <v>228</v>
      </c>
      <c r="V21" s="76"/>
      <c r="W21" s="17"/>
      <c r="X21" s="6"/>
      <c r="Y21" s="6"/>
      <c r="Z21" s="13"/>
      <c r="AA21" s="13"/>
      <c r="AB21" s="13"/>
      <c r="AC21" s="13"/>
      <c r="AD21" s="13"/>
      <c r="AE21" s="70"/>
      <c r="AF21" s="14"/>
      <c r="AJ21" s="13"/>
    </row>
    <row r="22" spans="2:36" ht="13.5" customHeight="1">
      <c r="B22" s="12"/>
      <c r="C22" s="4"/>
      <c r="D22" s="13"/>
      <c r="E22" s="13"/>
      <c r="F22" s="53"/>
      <c r="G22" s="53"/>
      <c r="H22" s="54"/>
      <c r="I22" s="13"/>
      <c r="J22" s="18"/>
      <c r="K22" s="13"/>
      <c r="L22" s="13"/>
      <c r="M22" s="13"/>
      <c r="N22" s="13"/>
      <c r="O22" s="13"/>
      <c r="P22" s="13"/>
      <c r="Q22" s="68"/>
      <c r="R22" s="68"/>
      <c r="S22" s="68"/>
      <c r="T22" s="17"/>
      <c r="U22" s="17"/>
      <c r="V22" s="17"/>
      <c r="W22" s="17"/>
      <c r="X22" s="17"/>
      <c r="Y22" s="17"/>
      <c r="Z22" s="17"/>
      <c r="AA22" s="13"/>
      <c r="AB22" s="13"/>
      <c r="AC22" s="13"/>
      <c r="AD22" s="13"/>
      <c r="AE22" s="13"/>
      <c r="AF22" s="14"/>
    </row>
    <row r="23" spans="2:36" s="11" customFormat="1" ht="13.5" customHeight="1">
      <c r="B23" s="19"/>
      <c r="C23" s="5" t="s">
        <v>5</v>
      </c>
      <c r="D23" s="9" t="s">
        <v>212</v>
      </c>
      <c r="E23" s="9"/>
      <c r="F23" s="9"/>
      <c r="G23" s="9"/>
      <c r="H23" s="9"/>
      <c r="I23" s="9"/>
      <c r="J23" s="20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</row>
    <row r="24" spans="2:36" ht="13.5" customHeight="1">
      <c r="B24" s="12"/>
      <c r="C24" s="4"/>
      <c r="D24" s="13"/>
      <c r="E24" s="13"/>
      <c r="F24" s="13"/>
      <c r="G24" s="13"/>
      <c r="H24" s="13"/>
      <c r="I24" s="13"/>
      <c r="J24" s="18"/>
      <c r="K24" s="13"/>
      <c r="L24" s="13"/>
      <c r="M24" s="13"/>
      <c r="N24" s="13"/>
      <c r="O24" s="13"/>
      <c r="P24" s="13"/>
      <c r="Q24" s="13"/>
      <c r="R24" s="13"/>
      <c r="S24" s="4"/>
      <c r="T24" s="4"/>
      <c r="U24" s="4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</row>
    <row r="25" spans="2:36" ht="13.5" customHeight="1">
      <c r="B25" s="12"/>
      <c r="C25" s="4"/>
      <c r="D25" s="13"/>
      <c r="E25" s="13"/>
      <c r="F25" s="13"/>
      <c r="G25" s="13"/>
      <c r="H25" s="119" t="s">
        <v>213</v>
      </c>
      <c r="I25" s="119"/>
      <c r="J25" s="132" t="s">
        <v>222</v>
      </c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6"/>
      <c r="W25" s="119" t="s">
        <v>298</v>
      </c>
      <c r="X25" s="119"/>
      <c r="Y25" s="163" t="s">
        <v>300</v>
      </c>
      <c r="Z25" s="163"/>
      <c r="AA25" s="163"/>
      <c r="AB25" s="163"/>
      <c r="AC25" s="13"/>
      <c r="AD25" s="13"/>
      <c r="AE25" s="13"/>
      <c r="AF25" s="14"/>
    </row>
    <row r="26" spans="2:36" ht="13.5" customHeight="1">
      <c r="B26" s="12"/>
      <c r="C26" s="4"/>
      <c r="D26" s="13"/>
      <c r="E26" s="13"/>
      <c r="F26" s="13"/>
      <c r="G26" s="13"/>
      <c r="H26" s="119"/>
      <c r="I26" s="119"/>
      <c r="J26" s="125" t="s">
        <v>208</v>
      </c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6"/>
      <c r="W26" s="119"/>
      <c r="X26" s="119"/>
      <c r="Y26" s="163"/>
      <c r="Z26" s="163"/>
      <c r="AA26" s="163"/>
      <c r="AB26" s="163"/>
      <c r="AC26" s="13"/>
      <c r="AD26" s="13"/>
      <c r="AE26" s="13"/>
      <c r="AF26" s="14"/>
    </row>
    <row r="27" spans="2:36" ht="13.5" customHeight="1">
      <c r="B27" s="12"/>
      <c r="C27" s="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4"/>
    </row>
    <row r="28" spans="2:36" ht="21" customHeight="1">
      <c r="B28" s="12"/>
      <c r="C28" s="4"/>
      <c r="D28" s="13"/>
      <c r="E28" s="13"/>
      <c r="F28" s="13"/>
      <c r="G28" s="13"/>
      <c r="H28" s="119" t="s">
        <v>209</v>
      </c>
      <c r="I28" s="119"/>
      <c r="J28" s="148" t="s">
        <v>210</v>
      </c>
      <c r="K28" s="148"/>
      <c r="L28" s="148"/>
      <c r="M28" s="148"/>
      <c r="N28" s="119"/>
      <c r="O28" s="119"/>
      <c r="P28" s="13"/>
      <c r="Q28" s="119" t="s">
        <v>299</v>
      </c>
      <c r="R28" s="119"/>
      <c r="S28" s="119"/>
      <c r="T28" s="146" t="s">
        <v>238</v>
      </c>
      <c r="U28" s="146"/>
      <c r="V28" s="146"/>
      <c r="W28" s="146"/>
      <c r="X28" s="146"/>
      <c r="Y28" s="146"/>
      <c r="Z28" s="13"/>
      <c r="AA28" s="13"/>
      <c r="AB28" s="13"/>
      <c r="AC28" s="13"/>
      <c r="AD28" s="13"/>
      <c r="AE28" s="13"/>
      <c r="AF28" s="14"/>
    </row>
    <row r="29" spans="2:36" ht="15" customHeight="1">
      <c r="B29" s="12"/>
      <c r="C29" s="4"/>
      <c r="D29" s="13"/>
      <c r="E29" s="13"/>
      <c r="F29" s="13"/>
      <c r="G29" s="13"/>
      <c r="H29" s="119"/>
      <c r="I29" s="119"/>
      <c r="J29" s="148"/>
      <c r="K29" s="148"/>
      <c r="L29" s="148"/>
      <c r="M29" s="148"/>
      <c r="N29" s="119"/>
      <c r="O29" s="119"/>
      <c r="P29" s="13"/>
      <c r="Q29" s="119"/>
      <c r="R29" s="119"/>
      <c r="S29" s="119"/>
      <c r="T29" s="201" t="s">
        <v>237</v>
      </c>
      <c r="U29" s="201"/>
      <c r="V29" s="201"/>
      <c r="W29" s="201"/>
      <c r="X29" s="201"/>
      <c r="Y29" s="201"/>
      <c r="Z29" s="93" t="s">
        <v>301</v>
      </c>
      <c r="AA29" s="93"/>
      <c r="AB29" s="93"/>
      <c r="AC29" s="93"/>
      <c r="AD29" s="93"/>
      <c r="AE29" s="93"/>
      <c r="AF29" s="94"/>
    </row>
    <row r="30" spans="2:36" ht="13.5" customHeight="1">
      <c r="B30" s="12"/>
      <c r="C30" s="4"/>
      <c r="D30" s="13"/>
      <c r="E30" s="13"/>
      <c r="F30" s="13"/>
      <c r="G30" s="13"/>
      <c r="H30" s="13"/>
      <c r="I30" s="13"/>
      <c r="J30" s="18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4"/>
    </row>
    <row r="31" spans="2:36" s="11" customFormat="1" ht="13.5" customHeight="1">
      <c r="B31" s="19"/>
      <c r="C31" s="5" t="s">
        <v>3</v>
      </c>
      <c r="D31" s="9" t="s">
        <v>211</v>
      </c>
      <c r="E31" s="9"/>
      <c r="F31" s="9"/>
      <c r="G31" s="9"/>
      <c r="H31" s="9"/>
      <c r="I31" s="9"/>
      <c r="J31" s="20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</row>
    <row r="32" spans="2:36" ht="13.5" customHeight="1">
      <c r="B32" s="12"/>
      <c r="C32" s="4"/>
      <c r="D32" s="13"/>
      <c r="E32" s="13"/>
      <c r="F32" s="13"/>
      <c r="G32" s="13"/>
      <c r="H32" s="82" t="s">
        <v>262</v>
      </c>
      <c r="I32" s="82"/>
      <c r="J32" s="147" t="s">
        <v>268</v>
      </c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"/>
    </row>
    <row r="33" spans="2:32" ht="17.45" customHeight="1">
      <c r="B33" s="12"/>
      <c r="C33" s="4"/>
      <c r="D33" s="13"/>
      <c r="E33" s="13"/>
      <c r="F33" s="13"/>
      <c r="G33" s="13"/>
      <c r="H33" s="119" t="s">
        <v>216</v>
      </c>
      <c r="I33" s="119"/>
      <c r="J33" s="132" t="s">
        <v>223</v>
      </c>
      <c r="K33" s="132"/>
      <c r="L33" s="132"/>
      <c r="M33" s="132"/>
      <c r="N33" s="132"/>
      <c r="O33" s="113"/>
      <c r="P33" s="4"/>
      <c r="Q33" s="119" t="s">
        <v>218</v>
      </c>
      <c r="R33" s="119"/>
      <c r="S33" s="119"/>
      <c r="T33" s="72" t="s">
        <v>220</v>
      </c>
      <c r="U33" s="72"/>
      <c r="V33" s="72" t="s">
        <v>219</v>
      </c>
      <c r="W33" s="132" t="s">
        <v>226</v>
      </c>
      <c r="X33" s="132"/>
      <c r="Y33" s="132"/>
      <c r="Z33" s="132"/>
      <c r="AA33" s="13"/>
      <c r="AB33" s="40"/>
      <c r="AC33" s="13"/>
      <c r="AD33" s="13"/>
      <c r="AE33" s="13"/>
      <c r="AF33" s="14"/>
    </row>
    <row r="34" spans="2:32" ht="15" customHeight="1">
      <c r="B34" s="12"/>
      <c r="C34" s="4"/>
      <c r="D34" s="13"/>
      <c r="E34" s="13"/>
      <c r="F34" s="13"/>
      <c r="G34" s="13"/>
      <c r="H34" s="119"/>
      <c r="I34" s="119"/>
      <c r="J34" s="220" t="s">
        <v>217</v>
      </c>
      <c r="K34" s="220"/>
      <c r="L34" s="220"/>
      <c r="M34" s="220"/>
      <c r="N34" s="220"/>
      <c r="O34" s="113"/>
      <c r="P34" s="4"/>
      <c r="Q34" s="119"/>
      <c r="R34" s="119"/>
      <c r="S34" s="119"/>
      <c r="T34" s="201" t="s">
        <v>221</v>
      </c>
      <c r="U34" s="201"/>
      <c r="V34" s="201"/>
      <c r="W34" s="201"/>
      <c r="X34" s="201"/>
      <c r="Y34" s="201"/>
      <c r="Z34" s="201"/>
      <c r="AA34" s="29"/>
      <c r="AB34" s="29"/>
      <c r="AC34" s="29"/>
      <c r="AD34" s="13"/>
      <c r="AE34" s="13"/>
      <c r="AF34" s="14"/>
    </row>
    <row r="35" spans="2:32" ht="15" customHeight="1">
      <c r="B35" s="12"/>
      <c r="C35" s="4"/>
      <c r="D35" s="13"/>
      <c r="E35" s="13"/>
      <c r="F35" s="13"/>
      <c r="G35" s="13"/>
      <c r="H35" s="17"/>
      <c r="I35" s="17"/>
      <c r="J35" s="22"/>
      <c r="K35" s="22"/>
      <c r="L35" s="22"/>
      <c r="M35" s="6"/>
      <c r="N35" s="6"/>
      <c r="O35" s="17"/>
      <c r="P35" s="4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29"/>
      <c r="AB35" s="29"/>
      <c r="AC35" s="29"/>
      <c r="AD35" s="13"/>
      <c r="AE35" s="13"/>
      <c r="AF35" s="14"/>
    </row>
    <row r="36" spans="2:32" ht="18.600000000000001" customHeight="1">
      <c r="B36" s="12"/>
      <c r="C36" s="4"/>
      <c r="D36" s="13"/>
      <c r="E36" s="13"/>
      <c r="F36" s="13"/>
      <c r="G36" s="13"/>
      <c r="H36" s="119" t="s">
        <v>225</v>
      </c>
      <c r="I36" s="119"/>
      <c r="J36" s="73"/>
      <c r="K36" s="74" t="s">
        <v>224</v>
      </c>
      <c r="L36" s="69"/>
      <c r="M36" s="6"/>
      <c r="N36" s="6"/>
      <c r="O36" s="17"/>
      <c r="P36" s="4"/>
      <c r="Q36" s="119" t="s">
        <v>227</v>
      </c>
      <c r="R36" s="119"/>
      <c r="S36" s="119"/>
      <c r="T36" s="132" t="s">
        <v>239</v>
      </c>
      <c r="U36" s="132"/>
      <c r="V36" s="132"/>
      <c r="W36" s="132"/>
      <c r="X36" s="132"/>
      <c r="Y36" s="132"/>
      <c r="Z36" s="13"/>
      <c r="AA36" s="29"/>
      <c r="AB36" s="29"/>
      <c r="AC36" s="29"/>
      <c r="AD36" s="13"/>
      <c r="AE36" s="13"/>
      <c r="AF36" s="14"/>
    </row>
    <row r="37" spans="2:32" ht="15" customHeight="1">
      <c r="B37" s="12"/>
      <c r="C37" s="4"/>
      <c r="D37" s="13"/>
      <c r="E37" s="13"/>
      <c r="F37" s="13"/>
      <c r="G37" s="13"/>
      <c r="H37" s="17"/>
      <c r="I37" s="17"/>
      <c r="J37" s="6"/>
      <c r="K37" s="6"/>
      <c r="L37" s="6"/>
      <c r="M37" s="6"/>
      <c r="N37" s="6"/>
      <c r="O37" s="17"/>
      <c r="P37" s="4"/>
      <c r="Q37" s="119"/>
      <c r="R37" s="119"/>
      <c r="S37" s="119"/>
      <c r="T37" s="201" t="s">
        <v>276</v>
      </c>
      <c r="U37" s="201"/>
      <c r="V37" s="201"/>
      <c r="W37" s="201"/>
      <c r="X37" s="201"/>
      <c r="Y37" s="201"/>
      <c r="Z37" s="113"/>
      <c r="AA37" s="29"/>
      <c r="AB37" s="29"/>
      <c r="AC37" s="29"/>
      <c r="AD37" s="13"/>
      <c r="AE37" s="13"/>
      <c r="AF37" s="14"/>
    </row>
    <row r="38" spans="2:32" ht="15" customHeight="1">
      <c r="B38" s="12"/>
      <c r="C38" s="5" t="s">
        <v>4</v>
      </c>
      <c r="D38" s="9" t="s">
        <v>230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17"/>
      <c r="P38" s="4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29"/>
      <c r="AB38" s="29"/>
      <c r="AC38" s="29"/>
      <c r="AD38" s="13"/>
      <c r="AE38" s="13"/>
      <c r="AF38" s="14"/>
    </row>
    <row r="39" spans="2:32" ht="15" customHeight="1">
      <c r="B39" s="12"/>
      <c r="C39" s="4"/>
      <c r="D39" s="13"/>
      <c r="E39" s="13"/>
      <c r="F39" s="13"/>
      <c r="G39" s="13"/>
      <c r="H39" s="17"/>
      <c r="I39" s="17"/>
      <c r="J39" s="6"/>
      <c r="K39" s="6"/>
      <c r="L39" s="6"/>
      <c r="M39" s="6"/>
      <c r="N39" s="6"/>
      <c r="O39" s="17"/>
      <c r="P39" s="4"/>
      <c r="Q39" s="17"/>
      <c r="R39" s="17"/>
      <c r="S39" s="17"/>
      <c r="T39" s="17"/>
      <c r="U39" s="17"/>
      <c r="V39" s="17"/>
      <c r="W39" s="125"/>
      <c r="X39" s="125"/>
      <c r="Y39" s="125"/>
      <c r="Z39" s="125"/>
      <c r="AA39" s="29"/>
      <c r="AB39" s="29"/>
      <c r="AC39" s="29"/>
      <c r="AD39" s="13"/>
      <c r="AE39" s="13"/>
      <c r="AF39" s="14"/>
    </row>
    <row r="40" spans="2:32" ht="15" customHeight="1">
      <c r="B40" s="12"/>
      <c r="C40" s="4"/>
      <c r="D40" s="13"/>
      <c r="E40" s="13"/>
      <c r="F40" s="13"/>
      <c r="G40" s="13"/>
      <c r="H40" s="113" t="s">
        <v>231</v>
      </c>
      <c r="I40" s="113"/>
      <c r="J40" s="125" t="s">
        <v>232</v>
      </c>
      <c r="K40" s="125"/>
      <c r="L40" s="125"/>
      <c r="M40" s="4"/>
      <c r="N40" s="4"/>
      <c r="O40" s="4"/>
      <c r="P40" s="4"/>
      <c r="Q40" s="119" t="s">
        <v>234</v>
      </c>
      <c r="R40" s="119"/>
      <c r="S40" s="119"/>
      <c r="T40" s="119" t="s">
        <v>235</v>
      </c>
      <c r="U40" s="119"/>
      <c r="V40" s="119"/>
      <c r="W40" s="248" t="s">
        <v>260</v>
      </c>
      <c r="X40" s="248"/>
      <c r="Y40" s="248"/>
      <c r="Z40" s="248"/>
      <c r="AA40" s="248"/>
      <c r="AB40" s="248"/>
      <c r="AC40" s="248"/>
      <c r="AD40" s="248"/>
      <c r="AE40" s="248"/>
      <c r="AF40" s="14"/>
    </row>
    <row r="41" spans="2:32" ht="15" customHeight="1">
      <c r="B41" s="12"/>
      <c r="C41" s="4"/>
      <c r="D41" s="13"/>
      <c r="E41" s="13"/>
      <c r="F41" s="13"/>
      <c r="G41" s="13"/>
      <c r="H41" s="113"/>
      <c r="I41" s="113"/>
      <c r="J41" s="126" t="s">
        <v>233</v>
      </c>
      <c r="K41" s="126"/>
      <c r="L41" s="126"/>
      <c r="M41" s="4"/>
      <c r="N41" s="4"/>
      <c r="O41" s="4"/>
      <c r="P41" s="4"/>
      <c r="Q41" s="119"/>
      <c r="R41" s="119"/>
      <c r="S41" s="119"/>
      <c r="T41" s="119"/>
      <c r="U41" s="119"/>
      <c r="V41" s="119"/>
      <c r="W41" s="248"/>
      <c r="X41" s="248"/>
      <c r="Y41" s="248"/>
      <c r="Z41" s="248"/>
      <c r="AA41" s="248"/>
      <c r="AB41" s="248"/>
      <c r="AC41" s="248"/>
      <c r="AD41" s="248"/>
      <c r="AE41" s="248"/>
      <c r="AF41" s="14"/>
    </row>
    <row r="42" spans="2:32" ht="15" customHeight="1">
      <c r="B42" s="12"/>
      <c r="C42" s="9" t="s">
        <v>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3"/>
      <c r="T42" s="13"/>
      <c r="U42" s="68"/>
      <c r="V42" s="68"/>
      <c r="W42" s="78"/>
      <c r="X42" s="78"/>
      <c r="Y42" s="78"/>
      <c r="Z42" s="78"/>
      <c r="AA42" s="78"/>
      <c r="AB42" s="78"/>
      <c r="AC42" s="78"/>
      <c r="AD42" s="78"/>
      <c r="AE42" s="78"/>
      <c r="AF42" s="14"/>
    </row>
    <row r="43" spans="2:32" ht="13.5" customHeight="1">
      <c r="B43" s="12"/>
      <c r="C43" s="13"/>
      <c r="D43" s="13"/>
      <c r="E43" s="13" t="s">
        <v>240</v>
      </c>
      <c r="F43" s="13"/>
      <c r="G43" s="13" t="s">
        <v>284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4"/>
    </row>
    <row r="44" spans="2:32" s="11" customFormat="1" ht="16.149999999999999" customHeight="1">
      <c r="B44" s="8" t="s">
        <v>0</v>
      </c>
      <c r="C44" s="13" t="s">
        <v>0</v>
      </c>
      <c r="D44" s="13"/>
      <c r="E44" s="13" t="s">
        <v>241</v>
      </c>
      <c r="F44" s="13"/>
      <c r="G44" s="13" t="s">
        <v>261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9"/>
      <c r="V44" s="52"/>
      <c r="W44" s="9"/>
      <c r="X44" s="53"/>
      <c r="Y44" s="9"/>
      <c r="Z44" s="9"/>
      <c r="AA44" s="9"/>
      <c r="AB44" s="9"/>
      <c r="AC44" s="9"/>
      <c r="AD44" s="9"/>
      <c r="AE44" s="9"/>
      <c r="AF44" s="10"/>
    </row>
    <row r="45" spans="2:32" ht="13.5" customHeight="1">
      <c r="B45" s="12"/>
      <c r="C45" s="13" t="s">
        <v>0</v>
      </c>
      <c r="D45" s="13"/>
      <c r="E45" s="13" t="s">
        <v>242</v>
      </c>
      <c r="F45" s="13"/>
      <c r="G45" s="13" t="s">
        <v>255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4"/>
    </row>
    <row r="46" spans="2:32" ht="13.5" customHeight="1">
      <c r="B46" s="12"/>
      <c r="C46" s="13"/>
      <c r="D46" s="13"/>
      <c r="E46" s="13" t="s">
        <v>20</v>
      </c>
      <c r="F46" s="13"/>
      <c r="G46" s="13" t="s">
        <v>243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55"/>
      <c r="Y46" s="13"/>
      <c r="Z46" s="13"/>
      <c r="AA46" s="13"/>
      <c r="AB46" s="13"/>
      <c r="AC46" s="13"/>
      <c r="AD46" s="13"/>
      <c r="AE46" s="13"/>
      <c r="AF46" s="14"/>
    </row>
    <row r="47" spans="2:32" ht="13.5" customHeight="1">
      <c r="B47" s="12"/>
      <c r="C47" s="13"/>
      <c r="D47" s="13"/>
      <c r="E47" s="13" t="s">
        <v>263</v>
      </c>
      <c r="F47" s="13"/>
      <c r="G47" s="13" t="s">
        <v>264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53"/>
      <c r="Y47" s="13"/>
      <c r="Z47" s="13"/>
      <c r="AA47" s="13"/>
      <c r="AB47" s="13"/>
      <c r="AC47" s="13"/>
      <c r="AD47" s="13"/>
      <c r="AE47" s="13"/>
      <c r="AF47" s="14"/>
    </row>
    <row r="48" spans="2:32" ht="13.5" customHeight="1">
      <c r="B48" s="12"/>
      <c r="C48" s="13"/>
      <c r="D48" s="13"/>
      <c r="E48" s="13" t="s">
        <v>244</v>
      </c>
      <c r="F48" s="13"/>
      <c r="G48" s="13" t="s">
        <v>254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52"/>
      <c r="X48" s="13"/>
      <c r="Y48" s="13"/>
      <c r="Z48" s="13"/>
      <c r="AA48" s="13"/>
      <c r="AB48" s="13"/>
      <c r="AC48" s="13"/>
      <c r="AD48" s="13"/>
      <c r="AE48" s="13"/>
      <c r="AF48" s="14"/>
    </row>
    <row r="49" spans="2:32" ht="13.5" customHeight="1">
      <c r="B49" s="12"/>
      <c r="C49" s="13"/>
      <c r="D49" s="13"/>
      <c r="E49" s="13" t="s">
        <v>245</v>
      </c>
      <c r="F49" s="13"/>
      <c r="G49" s="13" t="s">
        <v>246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52"/>
      <c r="X49" s="13"/>
      <c r="Y49" s="13"/>
      <c r="Z49" s="13"/>
      <c r="AA49" s="13"/>
      <c r="AB49" s="13"/>
      <c r="AC49" s="13"/>
      <c r="AD49" s="13"/>
      <c r="AE49" s="13"/>
      <c r="AF49" s="14"/>
    </row>
    <row r="50" spans="2:32" ht="13.5" customHeight="1">
      <c r="B50" s="12"/>
      <c r="C50" s="13"/>
      <c r="D50" s="13"/>
      <c r="E50" s="13" t="s">
        <v>19</v>
      </c>
      <c r="F50" s="13"/>
      <c r="G50" s="13" t="s">
        <v>247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4"/>
    </row>
    <row r="51" spans="2:32" ht="13.5" customHeight="1">
      <c r="B51" s="12"/>
      <c r="C51" s="13"/>
      <c r="D51" s="13"/>
      <c r="E51" s="13" t="s">
        <v>232</v>
      </c>
      <c r="F51" s="13"/>
      <c r="G51" s="13" t="s">
        <v>248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4"/>
    </row>
    <row r="52" spans="2:32" ht="13.5" customHeight="1">
      <c r="B52" s="12"/>
      <c r="C52" s="13"/>
      <c r="D52" s="13"/>
      <c r="E52" s="13" t="s">
        <v>249</v>
      </c>
      <c r="F52" s="13"/>
      <c r="G52" s="13" t="s">
        <v>250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4"/>
    </row>
    <row r="53" spans="2:32" ht="13.5" customHeight="1">
      <c r="B53" s="12"/>
      <c r="C53" s="13"/>
      <c r="D53" s="13"/>
      <c r="E53" s="13" t="s">
        <v>251</v>
      </c>
      <c r="F53" s="13"/>
      <c r="G53" s="13" t="s">
        <v>168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4"/>
    </row>
    <row r="54" spans="2:32" ht="13.5" customHeight="1">
      <c r="B54" s="12"/>
      <c r="C54" s="13"/>
      <c r="D54" s="13"/>
      <c r="E54" s="13" t="s">
        <v>252</v>
      </c>
      <c r="F54" s="13"/>
      <c r="G54" s="13" t="s">
        <v>253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4"/>
    </row>
    <row r="55" spans="2:32" ht="13.5" customHeight="1">
      <c r="B55" s="12"/>
      <c r="C55" s="13"/>
      <c r="D55" s="13"/>
      <c r="E55" s="13" t="s">
        <v>256</v>
      </c>
      <c r="F55" s="13"/>
      <c r="G55" s="13" t="s">
        <v>257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4"/>
    </row>
    <row r="56" spans="2:32" ht="13.5" customHeight="1">
      <c r="B56" s="12"/>
      <c r="C56" s="13"/>
      <c r="D56" s="13"/>
      <c r="E56" s="13" t="s">
        <v>258</v>
      </c>
      <c r="F56" s="13"/>
      <c r="G56" s="13" t="s">
        <v>259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4"/>
    </row>
    <row r="57" spans="2:32" ht="13.5" customHeight="1"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3"/>
    </row>
    <row r="58" spans="2:32" ht="13.5" customHeight="1">
      <c r="B58" s="242" t="s">
        <v>157</v>
      </c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4"/>
    </row>
    <row r="59" spans="2:32" ht="21" customHeight="1">
      <c r="B59" s="245" t="s">
        <v>187</v>
      </c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7"/>
    </row>
    <row r="60" spans="2:32" ht="30" customHeight="1">
      <c r="B60" s="181" t="s">
        <v>166</v>
      </c>
      <c r="C60" s="182"/>
      <c r="D60" s="182"/>
      <c r="E60" s="183"/>
      <c r="F60" s="120" t="s">
        <v>167</v>
      </c>
      <c r="G60" s="121"/>
      <c r="H60" s="121"/>
      <c r="I60" s="121"/>
      <c r="J60" s="121"/>
      <c r="K60" s="121"/>
      <c r="L60" s="121"/>
      <c r="M60" s="122"/>
      <c r="N60" s="120" t="s">
        <v>176</v>
      </c>
      <c r="O60" s="121"/>
      <c r="P60" s="122"/>
      <c r="Q60" s="120" t="s">
        <v>177</v>
      </c>
      <c r="R60" s="121"/>
      <c r="S60" s="122"/>
      <c r="T60" s="120" t="s">
        <v>178</v>
      </c>
      <c r="U60" s="121"/>
      <c r="V60" s="120" t="s">
        <v>179</v>
      </c>
      <c r="W60" s="121"/>
      <c r="X60" s="129" t="s">
        <v>181</v>
      </c>
      <c r="Y60" s="130"/>
      <c r="Z60" s="130"/>
      <c r="AA60" s="130"/>
      <c r="AB60" s="130"/>
      <c r="AC60" s="131"/>
      <c r="AD60" s="217" t="s">
        <v>180</v>
      </c>
      <c r="AE60" s="218"/>
      <c r="AF60" s="219"/>
    </row>
    <row r="61" spans="2:32" ht="16.149999999999999" customHeight="1">
      <c r="B61" s="186" t="s">
        <v>165</v>
      </c>
      <c r="C61" s="187"/>
      <c r="D61" s="187"/>
      <c r="E61" s="188"/>
      <c r="F61" s="58"/>
      <c r="G61" s="116" t="s">
        <v>172</v>
      </c>
      <c r="H61" s="117"/>
      <c r="I61" s="117"/>
      <c r="J61" s="117"/>
      <c r="K61" s="117"/>
      <c r="L61" s="117"/>
      <c r="M61" s="118"/>
      <c r="N61" s="99">
        <f>0.1*Q61</f>
        <v>3.184E-2</v>
      </c>
      <c r="O61" s="100"/>
      <c r="P61" s="160"/>
      <c r="Q61" s="99">
        <f>0.995*L68*L68*1000/L64/1000000</f>
        <v>0.31840000000000002</v>
      </c>
      <c r="R61" s="100"/>
      <c r="S61" s="160"/>
      <c r="T61" s="241"/>
      <c r="U61" s="227"/>
      <c r="V61" s="235"/>
      <c r="W61" s="236"/>
      <c r="X61" s="133">
        <f>L63</f>
        <v>20.918488014116875</v>
      </c>
      <c r="Y61" s="134"/>
      <c r="Z61" s="134"/>
      <c r="AA61" s="134"/>
      <c r="AB61" s="134"/>
      <c r="AC61" s="135"/>
      <c r="AD61" s="164">
        <v>21</v>
      </c>
      <c r="AE61" s="165"/>
      <c r="AF61" s="166"/>
    </row>
    <row r="62" spans="2:32" ht="16.149999999999999" customHeight="1">
      <c r="B62" s="189"/>
      <c r="C62" s="190"/>
      <c r="D62" s="190"/>
      <c r="E62" s="191"/>
      <c r="F62" s="105" t="s">
        <v>88</v>
      </c>
      <c r="G62" s="106" t="s">
        <v>183</v>
      </c>
      <c r="H62" s="107"/>
      <c r="I62" s="107"/>
      <c r="J62" s="107"/>
      <c r="K62" s="108"/>
      <c r="L62" s="178">
        <v>13800</v>
      </c>
      <c r="M62" s="178"/>
      <c r="N62" s="101"/>
      <c r="O62" s="102"/>
      <c r="P62" s="161"/>
      <c r="Q62" s="101"/>
      <c r="R62" s="102"/>
      <c r="S62" s="161"/>
      <c r="T62" s="228"/>
      <c r="U62" s="229"/>
      <c r="V62" s="237"/>
      <c r="W62" s="238"/>
      <c r="X62" s="136"/>
      <c r="Y62" s="137"/>
      <c r="Z62" s="137"/>
      <c r="AA62" s="137"/>
      <c r="AB62" s="137"/>
      <c r="AC62" s="138"/>
      <c r="AD62" s="167"/>
      <c r="AE62" s="168"/>
      <c r="AF62" s="169"/>
    </row>
    <row r="63" spans="2:32" ht="15.6" customHeight="1">
      <c r="B63" s="189"/>
      <c r="C63" s="190"/>
      <c r="D63" s="190"/>
      <c r="E63" s="191"/>
      <c r="F63" s="105"/>
      <c r="G63" s="106" t="s">
        <v>214</v>
      </c>
      <c r="H63" s="123"/>
      <c r="I63" s="123"/>
      <c r="J63" s="123"/>
      <c r="K63" s="124"/>
      <c r="L63" s="184">
        <f>L64*1000000/SQRT(3)/L62/1000</f>
        <v>20.918488014116875</v>
      </c>
      <c r="M63" s="184"/>
      <c r="N63" s="101"/>
      <c r="O63" s="102"/>
      <c r="P63" s="161"/>
      <c r="Q63" s="101"/>
      <c r="R63" s="102"/>
      <c r="S63" s="161"/>
      <c r="T63" s="228"/>
      <c r="U63" s="229"/>
      <c r="V63" s="237"/>
      <c r="W63" s="238"/>
      <c r="X63" s="136"/>
      <c r="Y63" s="137"/>
      <c r="Z63" s="137"/>
      <c r="AA63" s="137"/>
      <c r="AB63" s="137"/>
      <c r="AC63" s="138"/>
      <c r="AD63" s="167"/>
      <c r="AE63" s="168"/>
      <c r="AF63" s="169"/>
    </row>
    <row r="64" spans="2:32" ht="16.149999999999999" customHeight="1">
      <c r="B64" s="192"/>
      <c r="C64" s="193"/>
      <c r="D64" s="193"/>
      <c r="E64" s="194"/>
      <c r="F64" s="59"/>
      <c r="G64" s="106" t="s">
        <v>215</v>
      </c>
      <c r="H64" s="107"/>
      <c r="I64" s="107"/>
      <c r="J64" s="107"/>
      <c r="K64" s="108"/>
      <c r="L64" s="178">
        <v>500</v>
      </c>
      <c r="M64" s="178"/>
      <c r="N64" s="103"/>
      <c r="O64" s="104"/>
      <c r="P64" s="162"/>
      <c r="Q64" s="103"/>
      <c r="R64" s="104"/>
      <c r="S64" s="162"/>
      <c r="T64" s="230"/>
      <c r="U64" s="231"/>
      <c r="V64" s="239"/>
      <c r="W64" s="240"/>
      <c r="X64" s="139"/>
      <c r="Y64" s="140"/>
      <c r="Z64" s="140"/>
      <c r="AA64" s="140"/>
      <c r="AB64" s="140"/>
      <c r="AC64" s="141"/>
      <c r="AD64" s="170"/>
      <c r="AE64" s="171"/>
      <c r="AF64" s="172"/>
    </row>
    <row r="65" spans="2:32" ht="16.149999999999999" customHeight="1">
      <c r="B65" s="26"/>
      <c r="C65" s="27"/>
      <c r="D65" s="27"/>
      <c r="E65" s="27"/>
      <c r="F65" s="25"/>
      <c r="G65" s="27"/>
      <c r="H65" s="27"/>
      <c r="I65" s="27"/>
      <c r="J65" s="27"/>
      <c r="K65" s="27"/>
      <c r="L65" s="25"/>
      <c r="M65" s="2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25"/>
      <c r="AF65" s="57"/>
    </row>
    <row r="66" spans="2:32" ht="16.149999999999999" customHeight="1">
      <c r="B66" s="186" t="s">
        <v>168</v>
      </c>
      <c r="C66" s="187"/>
      <c r="D66" s="187"/>
      <c r="E66" s="188"/>
      <c r="F66" s="58"/>
      <c r="G66" s="116" t="s">
        <v>169</v>
      </c>
      <c r="H66" s="117"/>
      <c r="I66" s="117"/>
      <c r="J66" s="117"/>
      <c r="K66" s="118"/>
      <c r="L66" s="179">
        <v>1500</v>
      </c>
      <c r="M66" s="180"/>
      <c r="N66" s="99">
        <f>L69*1000/3/(L70*L70)</f>
        <v>0.99555555555555519</v>
      </c>
      <c r="O66" s="100"/>
      <c r="P66" s="160"/>
      <c r="Q66" s="99">
        <f>SQRT(((L67/100*(L68*L68)/L66)*(L67/100*L68*L68/L66))-((N66*N66)))</f>
        <v>6.3220937303873059</v>
      </c>
      <c r="R66" s="100"/>
      <c r="S66" s="160"/>
      <c r="T66" s="99">
        <f>N61+N66</f>
        <v>1.0273955555555552</v>
      </c>
      <c r="U66" s="227"/>
      <c r="V66" s="99">
        <f>Q61+Q66</f>
        <v>6.6404937303873055</v>
      </c>
      <c r="W66" s="227"/>
      <c r="X66" s="133">
        <f>L68/SQRT(3)/SQRT((T66*T66)+(V66*V66))</f>
        <v>34.368637654598643</v>
      </c>
      <c r="Y66" s="134"/>
      <c r="Z66" s="134"/>
      <c r="AA66" s="134"/>
      <c r="AB66" s="134"/>
      <c r="AC66" s="135"/>
      <c r="AD66" s="164">
        <v>35</v>
      </c>
      <c r="AE66" s="165"/>
      <c r="AF66" s="166"/>
    </row>
    <row r="67" spans="2:32" ht="16.149999999999999" customHeight="1">
      <c r="B67" s="189"/>
      <c r="C67" s="190"/>
      <c r="D67" s="190"/>
      <c r="E67" s="191"/>
      <c r="F67" s="60"/>
      <c r="G67" s="106" t="s">
        <v>170</v>
      </c>
      <c r="H67" s="107"/>
      <c r="I67" s="107"/>
      <c r="J67" s="107"/>
      <c r="K67" s="108"/>
      <c r="L67" s="111">
        <v>6</v>
      </c>
      <c r="M67" s="112"/>
      <c r="N67" s="101"/>
      <c r="O67" s="102"/>
      <c r="P67" s="161"/>
      <c r="Q67" s="101"/>
      <c r="R67" s="102"/>
      <c r="S67" s="161"/>
      <c r="T67" s="228"/>
      <c r="U67" s="229"/>
      <c r="V67" s="228"/>
      <c r="W67" s="229"/>
      <c r="X67" s="136"/>
      <c r="Y67" s="137"/>
      <c r="Z67" s="137"/>
      <c r="AA67" s="137"/>
      <c r="AB67" s="137"/>
      <c r="AC67" s="138"/>
      <c r="AD67" s="167"/>
      <c r="AE67" s="168"/>
      <c r="AF67" s="169"/>
    </row>
    <row r="68" spans="2:32" ht="16.149999999999999" customHeight="1">
      <c r="B68" s="189"/>
      <c r="C68" s="190"/>
      <c r="D68" s="190"/>
      <c r="E68" s="191"/>
      <c r="F68" s="105" t="s">
        <v>190</v>
      </c>
      <c r="G68" s="106" t="s">
        <v>156</v>
      </c>
      <c r="H68" s="107"/>
      <c r="I68" s="107"/>
      <c r="J68" s="107"/>
      <c r="K68" s="108"/>
      <c r="L68" s="111">
        <v>400</v>
      </c>
      <c r="M68" s="112"/>
      <c r="N68" s="101"/>
      <c r="O68" s="102"/>
      <c r="P68" s="161"/>
      <c r="Q68" s="101"/>
      <c r="R68" s="102"/>
      <c r="S68" s="161"/>
      <c r="T68" s="228"/>
      <c r="U68" s="229"/>
      <c r="V68" s="228"/>
      <c r="W68" s="229"/>
      <c r="X68" s="136"/>
      <c r="Y68" s="137"/>
      <c r="Z68" s="137"/>
      <c r="AA68" s="137"/>
      <c r="AB68" s="137"/>
      <c r="AC68" s="138"/>
      <c r="AD68" s="167"/>
      <c r="AE68" s="168"/>
      <c r="AF68" s="169"/>
    </row>
    <row r="69" spans="2:32" ht="16.149999999999999" customHeight="1">
      <c r="B69" s="189"/>
      <c r="C69" s="190"/>
      <c r="D69" s="190"/>
      <c r="E69" s="191"/>
      <c r="F69" s="105"/>
      <c r="G69" s="106" t="s">
        <v>171</v>
      </c>
      <c r="H69" s="107"/>
      <c r="I69" s="107"/>
      <c r="J69" s="107"/>
      <c r="K69" s="108"/>
      <c r="L69" s="111">
        <v>14000</v>
      </c>
      <c r="M69" s="112"/>
      <c r="N69" s="101"/>
      <c r="O69" s="102"/>
      <c r="P69" s="161"/>
      <c r="Q69" s="101"/>
      <c r="R69" s="102"/>
      <c r="S69" s="161"/>
      <c r="T69" s="228"/>
      <c r="U69" s="229"/>
      <c r="V69" s="228"/>
      <c r="W69" s="229"/>
      <c r="X69" s="136"/>
      <c r="Y69" s="137"/>
      <c r="Z69" s="137"/>
      <c r="AA69" s="137"/>
      <c r="AB69" s="137"/>
      <c r="AC69" s="138"/>
      <c r="AD69" s="167"/>
      <c r="AE69" s="168"/>
      <c r="AF69" s="169"/>
    </row>
    <row r="70" spans="2:32" ht="15.6" customHeight="1">
      <c r="B70" s="192"/>
      <c r="C70" s="193"/>
      <c r="D70" s="193"/>
      <c r="E70" s="194"/>
      <c r="F70" s="61"/>
      <c r="G70" s="106" t="s">
        <v>173</v>
      </c>
      <c r="H70" s="107"/>
      <c r="I70" s="107"/>
      <c r="J70" s="107"/>
      <c r="K70" s="108"/>
      <c r="L70" s="114">
        <f>L66*1000/SQRT(3)/L68</f>
        <v>2165.0635094610971</v>
      </c>
      <c r="M70" s="115"/>
      <c r="N70" s="103"/>
      <c r="O70" s="104"/>
      <c r="P70" s="162"/>
      <c r="Q70" s="103"/>
      <c r="R70" s="104"/>
      <c r="S70" s="162"/>
      <c r="T70" s="230"/>
      <c r="U70" s="231"/>
      <c r="V70" s="230"/>
      <c r="W70" s="231"/>
      <c r="X70" s="139"/>
      <c r="Y70" s="140"/>
      <c r="Z70" s="140"/>
      <c r="AA70" s="140"/>
      <c r="AB70" s="140"/>
      <c r="AC70" s="141"/>
      <c r="AD70" s="170"/>
      <c r="AE70" s="171"/>
      <c r="AF70" s="172"/>
    </row>
    <row r="71" spans="2:32" ht="16.149999999999999" customHeight="1">
      <c r="B71" s="42"/>
      <c r="C71" s="17"/>
      <c r="D71" s="17"/>
      <c r="E71" s="17"/>
      <c r="F71" s="4"/>
      <c r="G71" s="45"/>
      <c r="H71" s="45"/>
      <c r="I71" s="45"/>
      <c r="J71" s="45"/>
      <c r="K71" s="45"/>
      <c r="L71" s="43"/>
      <c r="M71" s="43"/>
      <c r="N71" s="46"/>
      <c r="O71" s="46"/>
      <c r="P71" s="46"/>
      <c r="Q71" s="47"/>
      <c r="R71" s="47"/>
      <c r="S71" s="47"/>
      <c r="T71" s="48"/>
      <c r="U71" s="48"/>
      <c r="V71" s="48"/>
      <c r="W71" s="48"/>
      <c r="X71" s="47"/>
      <c r="Y71" s="47"/>
      <c r="Z71" s="47"/>
      <c r="AA71" s="47"/>
      <c r="AB71" s="47"/>
      <c r="AC71" s="47"/>
      <c r="AD71" s="49"/>
      <c r="AE71" s="50"/>
      <c r="AF71" s="57"/>
    </row>
    <row r="72" spans="2:32" ht="24" customHeight="1">
      <c r="B72" s="120" t="s">
        <v>184</v>
      </c>
      <c r="C72" s="121"/>
      <c r="D72" s="121"/>
      <c r="E72" s="122"/>
      <c r="F72" s="62" t="s">
        <v>191</v>
      </c>
      <c r="G72" s="224" t="s">
        <v>270</v>
      </c>
      <c r="H72" s="225"/>
      <c r="I72" s="225"/>
      <c r="J72" s="225"/>
      <c r="K72" s="225"/>
      <c r="L72" s="225"/>
      <c r="M72" s="226"/>
      <c r="N72" s="221" t="s">
        <v>185</v>
      </c>
      <c r="O72" s="222"/>
      <c r="P72" s="222"/>
      <c r="Q72" s="221" t="s">
        <v>185</v>
      </c>
      <c r="R72" s="222"/>
      <c r="S72" s="222"/>
      <c r="T72" s="221" t="s">
        <v>272</v>
      </c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3"/>
    </row>
    <row r="73" spans="2:32" ht="16.149999999999999" customHeight="1">
      <c r="B73" s="26"/>
      <c r="C73" s="27"/>
      <c r="D73" s="27"/>
      <c r="E73" s="27"/>
      <c r="F73" s="27"/>
      <c r="G73" s="17"/>
      <c r="H73" s="17"/>
      <c r="I73" s="17"/>
      <c r="J73" s="17"/>
      <c r="K73" s="17"/>
      <c r="L73" s="113"/>
      <c r="M73" s="113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23"/>
    </row>
    <row r="74" spans="2:32" ht="24" customHeight="1">
      <c r="B74" s="120" t="s">
        <v>273</v>
      </c>
      <c r="C74" s="121"/>
      <c r="D74" s="121"/>
      <c r="E74" s="122"/>
      <c r="F74" s="62" t="s">
        <v>274</v>
      </c>
      <c r="G74" s="224" t="s">
        <v>269</v>
      </c>
      <c r="H74" s="225"/>
      <c r="I74" s="225"/>
      <c r="J74" s="225"/>
      <c r="K74" s="225"/>
      <c r="L74" s="225"/>
      <c r="M74" s="226"/>
      <c r="N74" s="221" t="s">
        <v>185</v>
      </c>
      <c r="O74" s="222"/>
      <c r="P74" s="222"/>
      <c r="Q74" s="221" t="s">
        <v>185</v>
      </c>
      <c r="R74" s="222"/>
      <c r="S74" s="222"/>
      <c r="T74" s="221" t="s">
        <v>272</v>
      </c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3"/>
    </row>
    <row r="75" spans="2:32" ht="16.149999999999999" customHeight="1">
      <c r="B75" s="24"/>
      <c r="C75" s="4"/>
      <c r="D75" s="4"/>
      <c r="E75" s="4"/>
      <c r="F75" s="4"/>
      <c r="G75" s="17"/>
      <c r="H75" s="17"/>
      <c r="I75" s="17"/>
      <c r="J75" s="17"/>
      <c r="K75" s="17"/>
      <c r="L75" s="17"/>
      <c r="M75" s="17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14"/>
    </row>
    <row r="76" spans="2:32" s="11" customFormat="1" ht="16.149999999999999" customHeight="1">
      <c r="B76" s="149" t="s">
        <v>186</v>
      </c>
      <c r="C76" s="150"/>
      <c r="D76" s="150"/>
      <c r="E76" s="151"/>
      <c r="F76" s="58"/>
      <c r="G76" s="157" t="s">
        <v>281</v>
      </c>
      <c r="H76" s="158"/>
      <c r="I76" s="158"/>
      <c r="J76" s="158"/>
      <c r="K76" s="158"/>
      <c r="L76" s="158"/>
      <c r="M76" s="159"/>
      <c r="N76" s="99">
        <f>23.69*L79/L78/L77</f>
        <v>1.067117117117117</v>
      </c>
      <c r="O76" s="100"/>
      <c r="P76" s="160"/>
      <c r="Q76" s="99">
        <f>0.096*L79</f>
        <v>2.4</v>
      </c>
      <c r="R76" s="100"/>
      <c r="S76" s="160"/>
      <c r="T76" s="99">
        <f>N46+N51+N61+N66+N71+N76</f>
        <v>2.0945126726726722</v>
      </c>
      <c r="U76" s="100"/>
      <c r="V76" s="99">
        <f>Q61+Q66+Q76</f>
        <v>9.0404937303873059</v>
      </c>
      <c r="W76" s="100"/>
      <c r="X76" s="133">
        <f>L68/SQRT(3)/SQRT((T76*T76)+(V76*V76))</f>
        <v>24.885916025976808</v>
      </c>
      <c r="Y76" s="134"/>
      <c r="Z76" s="134"/>
      <c r="AA76" s="134"/>
      <c r="AB76" s="134"/>
      <c r="AC76" s="135"/>
      <c r="AD76" s="164">
        <v>25</v>
      </c>
      <c r="AE76" s="165"/>
      <c r="AF76" s="166"/>
    </row>
    <row r="77" spans="2:32" ht="16.149999999999999" customHeight="1">
      <c r="B77" s="105"/>
      <c r="C77" s="152"/>
      <c r="D77" s="152"/>
      <c r="E77" s="153"/>
      <c r="F77" s="105" t="s">
        <v>188</v>
      </c>
      <c r="G77" s="106" t="s">
        <v>174</v>
      </c>
      <c r="H77" s="107"/>
      <c r="I77" s="107"/>
      <c r="J77" s="107"/>
      <c r="K77" s="108"/>
      <c r="L77" s="109">
        <v>185</v>
      </c>
      <c r="M77" s="110"/>
      <c r="N77" s="101"/>
      <c r="O77" s="102"/>
      <c r="P77" s="161"/>
      <c r="Q77" s="101"/>
      <c r="R77" s="102"/>
      <c r="S77" s="161"/>
      <c r="T77" s="101"/>
      <c r="U77" s="102"/>
      <c r="V77" s="101"/>
      <c r="W77" s="102"/>
      <c r="X77" s="136"/>
      <c r="Y77" s="137"/>
      <c r="Z77" s="137"/>
      <c r="AA77" s="137"/>
      <c r="AB77" s="137"/>
      <c r="AC77" s="138"/>
      <c r="AD77" s="167"/>
      <c r="AE77" s="168"/>
      <c r="AF77" s="169"/>
    </row>
    <row r="78" spans="2:32" s="11" customFormat="1" ht="16.149999999999999" customHeight="1">
      <c r="B78" s="105"/>
      <c r="C78" s="152"/>
      <c r="D78" s="152"/>
      <c r="E78" s="153"/>
      <c r="F78" s="105"/>
      <c r="G78" s="106" t="s">
        <v>265</v>
      </c>
      <c r="H78" s="107"/>
      <c r="I78" s="107"/>
      <c r="J78" s="107"/>
      <c r="K78" s="108"/>
      <c r="L78" s="111">
        <v>3</v>
      </c>
      <c r="M78" s="112"/>
      <c r="N78" s="101"/>
      <c r="O78" s="102"/>
      <c r="P78" s="161"/>
      <c r="Q78" s="101"/>
      <c r="R78" s="102"/>
      <c r="S78" s="161"/>
      <c r="T78" s="101"/>
      <c r="U78" s="102"/>
      <c r="V78" s="101"/>
      <c r="W78" s="102"/>
      <c r="X78" s="136"/>
      <c r="Y78" s="137"/>
      <c r="Z78" s="137"/>
      <c r="AA78" s="137"/>
      <c r="AB78" s="137"/>
      <c r="AC78" s="138"/>
      <c r="AD78" s="167"/>
      <c r="AE78" s="168"/>
      <c r="AF78" s="169"/>
    </row>
    <row r="79" spans="2:32" ht="16.149999999999999" customHeight="1">
      <c r="B79" s="154"/>
      <c r="C79" s="155"/>
      <c r="D79" s="155"/>
      <c r="E79" s="156"/>
      <c r="F79" s="59"/>
      <c r="G79" s="106" t="s">
        <v>175</v>
      </c>
      <c r="H79" s="107"/>
      <c r="I79" s="107"/>
      <c r="J79" s="107"/>
      <c r="K79" s="108"/>
      <c r="L79" s="111">
        <v>25</v>
      </c>
      <c r="M79" s="112"/>
      <c r="N79" s="101"/>
      <c r="O79" s="102"/>
      <c r="P79" s="161"/>
      <c r="Q79" s="101"/>
      <c r="R79" s="102"/>
      <c r="S79" s="161"/>
      <c r="T79" s="103"/>
      <c r="U79" s="104"/>
      <c r="V79" s="101"/>
      <c r="W79" s="102"/>
      <c r="X79" s="136"/>
      <c r="Y79" s="137"/>
      <c r="Z79" s="137"/>
      <c r="AA79" s="137"/>
      <c r="AB79" s="137"/>
      <c r="AC79" s="138"/>
      <c r="AD79" s="170"/>
      <c r="AE79" s="171"/>
      <c r="AF79" s="172"/>
    </row>
    <row r="80" spans="2:32" ht="16.149999999999999" customHeight="1">
      <c r="B80" s="12"/>
      <c r="C80" s="13"/>
      <c r="D80" s="13"/>
      <c r="E80" s="13"/>
      <c r="F80" s="13"/>
      <c r="G80" s="17"/>
      <c r="H80" s="17"/>
      <c r="I80" s="17"/>
      <c r="J80" s="17"/>
      <c r="K80" s="17"/>
      <c r="L80" s="17"/>
      <c r="M80" s="17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57"/>
    </row>
    <row r="81" spans="2:32" ht="16.149999999999999" customHeight="1">
      <c r="B81" s="149" t="s">
        <v>186</v>
      </c>
      <c r="C81" s="150"/>
      <c r="D81" s="150"/>
      <c r="E81" s="151"/>
      <c r="F81" s="58"/>
      <c r="G81" s="157" t="s">
        <v>282</v>
      </c>
      <c r="H81" s="158"/>
      <c r="I81" s="158"/>
      <c r="J81" s="158"/>
      <c r="K81" s="158"/>
      <c r="L81" s="158"/>
      <c r="M81" s="159"/>
      <c r="N81" s="99">
        <f>23.69*L84/L83/L82</f>
        <v>3.9483333333333333</v>
      </c>
      <c r="O81" s="100"/>
      <c r="P81" s="160"/>
      <c r="Q81" s="99">
        <f>0.096*L84</f>
        <v>3.84</v>
      </c>
      <c r="R81" s="100"/>
      <c r="S81" s="160"/>
      <c r="T81" s="99">
        <f>N61+N66+N76+N81</f>
        <v>6.0428460060060054</v>
      </c>
      <c r="U81" s="100"/>
      <c r="V81" s="99">
        <f>Q61+Q66+Q76+Q81</f>
        <v>12.880493730387306</v>
      </c>
      <c r="W81" s="100"/>
      <c r="X81" s="133">
        <f>L68/SQRT(3)/SQRT((T81*T81)+(V81*V81))</f>
        <v>16.2318986039257</v>
      </c>
      <c r="Y81" s="134"/>
      <c r="Z81" s="134"/>
      <c r="AA81" s="134"/>
      <c r="AB81" s="134"/>
      <c r="AC81" s="135"/>
      <c r="AD81" s="164">
        <v>18</v>
      </c>
      <c r="AE81" s="165"/>
      <c r="AF81" s="166"/>
    </row>
    <row r="82" spans="2:32" ht="16.149999999999999" customHeight="1">
      <c r="B82" s="105"/>
      <c r="C82" s="152"/>
      <c r="D82" s="152"/>
      <c r="E82" s="153"/>
      <c r="F82" s="105" t="s">
        <v>189</v>
      </c>
      <c r="G82" s="106" t="s">
        <v>174</v>
      </c>
      <c r="H82" s="107"/>
      <c r="I82" s="107"/>
      <c r="J82" s="107"/>
      <c r="K82" s="108"/>
      <c r="L82" s="109">
        <v>240</v>
      </c>
      <c r="M82" s="110"/>
      <c r="N82" s="101"/>
      <c r="O82" s="102"/>
      <c r="P82" s="161"/>
      <c r="Q82" s="101"/>
      <c r="R82" s="102"/>
      <c r="S82" s="161"/>
      <c r="T82" s="101"/>
      <c r="U82" s="102"/>
      <c r="V82" s="101"/>
      <c r="W82" s="102"/>
      <c r="X82" s="136"/>
      <c r="Y82" s="137"/>
      <c r="Z82" s="137"/>
      <c r="AA82" s="137"/>
      <c r="AB82" s="137"/>
      <c r="AC82" s="138"/>
      <c r="AD82" s="167"/>
      <c r="AE82" s="168"/>
      <c r="AF82" s="169"/>
    </row>
    <row r="83" spans="2:32" ht="16.149999999999999" customHeight="1">
      <c r="B83" s="105"/>
      <c r="C83" s="152"/>
      <c r="D83" s="152"/>
      <c r="E83" s="153"/>
      <c r="F83" s="105"/>
      <c r="G83" s="106" t="s">
        <v>265</v>
      </c>
      <c r="H83" s="107"/>
      <c r="I83" s="107"/>
      <c r="J83" s="107"/>
      <c r="K83" s="108"/>
      <c r="L83" s="111">
        <v>1</v>
      </c>
      <c r="M83" s="112"/>
      <c r="N83" s="101"/>
      <c r="O83" s="102"/>
      <c r="P83" s="161"/>
      <c r="Q83" s="101"/>
      <c r="R83" s="102"/>
      <c r="S83" s="161"/>
      <c r="T83" s="101"/>
      <c r="U83" s="102"/>
      <c r="V83" s="101"/>
      <c r="W83" s="102"/>
      <c r="X83" s="136"/>
      <c r="Y83" s="137"/>
      <c r="Z83" s="137"/>
      <c r="AA83" s="137"/>
      <c r="AB83" s="137"/>
      <c r="AC83" s="138"/>
      <c r="AD83" s="167"/>
      <c r="AE83" s="168"/>
      <c r="AF83" s="169"/>
    </row>
    <row r="84" spans="2:32" ht="16.149999999999999" customHeight="1">
      <c r="B84" s="154"/>
      <c r="C84" s="155"/>
      <c r="D84" s="155"/>
      <c r="E84" s="156"/>
      <c r="F84" s="59"/>
      <c r="G84" s="106" t="s">
        <v>175</v>
      </c>
      <c r="H84" s="107"/>
      <c r="I84" s="107"/>
      <c r="J84" s="107"/>
      <c r="K84" s="108"/>
      <c r="L84" s="111">
        <v>40</v>
      </c>
      <c r="M84" s="112"/>
      <c r="N84" s="103"/>
      <c r="O84" s="104"/>
      <c r="P84" s="162"/>
      <c r="Q84" s="103"/>
      <c r="R84" s="104"/>
      <c r="S84" s="162"/>
      <c r="T84" s="103"/>
      <c r="U84" s="104"/>
      <c r="V84" s="103"/>
      <c r="W84" s="104"/>
      <c r="X84" s="139"/>
      <c r="Y84" s="140"/>
      <c r="Z84" s="140"/>
      <c r="AA84" s="140"/>
      <c r="AB84" s="140"/>
      <c r="AC84" s="141"/>
      <c r="AD84" s="170"/>
      <c r="AE84" s="171"/>
      <c r="AF84" s="172"/>
    </row>
    <row r="85" spans="2:32" ht="16.149999999999999" customHeight="1">
      <c r="B85" s="12"/>
      <c r="C85" s="13"/>
      <c r="D85" s="13"/>
      <c r="E85" s="13"/>
      <c r="F85" s="13"/>
      <c r="G85" s="17"/>
      <c r="H85" s="17"/>
      <c r="I85" s="17"/>
      <c r="J85" s="17"/>
      <c r="K85" s="17"/>
      <c r="L85" s="17"/>
      <c r="M85" s="17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57"/>
    </row>
    <row r="86" spans="2:32" ht="16.149999999999999" customHeight="1">
      <c r="B86" s="149" t="s">
        <v>186</v>
      </c>
      <c r="C86" s="150"/>
      <c r="D86" s="150"/>
      <c r="E86" s="151"/>
      <c r="F86" s="58"/>
      <c r="G86" s="157" t="s">
        <v>271</v>
      </c>
      <c r="H86" s="158"/>
      <c r="I86" s="158"/>
      <c r="J86" s="158"/>
      <c r="K86" s="158"/>
      <c r="L86" s="158"/>
      <c r="M86" s="159"/>
      <c r="N86" s="99">
        <f>23.69*L89/L88/L87</f>
        <v>6.3173333333333339</v>
      </c>
      <c r="O86" s="100"/>
      <c r="P86" s="160"/>
      <c r="Q86" s="99">
        <f>0.096*L89</f>
        <v>3.84</v>
      </c>
      <c r="R86" s="100"/>
      <c r="S86" s="160"/>
      <c r="T86" s="99">
        <f>N61+N66+N76+N81+N86</f>
        <v>12.360179339339339</v>
      </c>
      <c r="U86" s="100"/>
      <c r="V86" s="99">
        <f>Q61+Q66+Q76+Q81+Q86</f>
        <v>16.720493730387304</v>
      </c>
      <c r="W86" s="100"/>
      <c r="X86" s="133">
        <f>L68/SQRT(3)/SQRT((T86*T86)+(V86*V86))</f>
        <v>11.10662638067561</v>
      </c>
      <c r="Y86" s="134"/>
      <c r="Z86" s="134"/>
      <c r="AA86" s="134"/>
      <c r="AB86" s="134"/>
      <c r="AC86" s="135"/>
      <c r="AD86" s="164">
        <v>14</v>
      </c>
      <c r="AE86" s="165"/>
      <c r="AF86" s="166"/>
    </row>
    <row r="87" spans="2:32" ht="16.149999999999999" customHeight="1">
      <c r="B87" s="105"/>
      <c r="C87" s="152"/>
      <c r="D87" s="152"/>
      <c r="E87" s="153"/>
      <c r="F87" s="105" t="s">
        <v>277</v>
      </c>
      <c r="G87" s="106" t="s">
        <v>174</v>
      </c>
      <c r="H87" s="107"/>
      <c r="I87" s="107"/>
      <c r="J87" s="107"/>
      <c r="K87" s="108"/>
      <c r="L87" s="109">
        <v>150</v>
      </c>
      <c r="M87" s="110"/>
      <c r="N87" s="101"/>
      <c r="O87" s="102"/>
      <c r="P87" s="161"/>
      <c r="Q87" s="101"/>
      <c r="R87" s="102"/>
      <c r="S87" s="161"/>
      <c r="T87" s="101"/>
      <c r="U87" s="102"/>
      <c r="V87" s="101"/>
      <c r="W87" s="102"/>
      <c r="X87" s="136"/>
      <c r="Y87" s="137"/>
      <c r="Z87" s="137"/>
      <c r="AA87" s="137"/>
      <c r="AB87" s="137"/>
      <c r="AC87" s="138"/>
      <c r="AD87" s="167"/>
      <c r="AE87" s="168"/>
      <c r="AF87" s="169"/>
    </row>
    <row r="88" spans="2:32" ht="16.149999999999999" customHeight="1">
      <c r="B88" s="105"/>
      <c r="C88" s="152"/>
      <c r="D88" s="152"/>
      <c r="E88" s="153"/>
      <c r="F88" s="105"/>
      <c r="G88" s="106" t="s">
        <v>265</v>
      </c>
      <c r="H88" s="107"/>
      <c r="I88" s="107"/>
      <c r="J88" s="107"/>
      <c r="K88" s="108"/>
      <c r="L88" s="111">
        <v>1</v>
      </c>
      <c r="M88" s="112"/>
      <c r="N88" s="101"/>
      <c r="O88" s="102"/>
      <c r="P88" s="161"/>
      <c r="Q88" s="101"/>
      <c r="R88" s="102"/>
      <c r="S88" s="161"/>
      <c r="T88" s="101"/>
      <c r="U88" s="102"/>
      <c r="V88" s="101"/>
      <c r="W88" s="102"/>
      <c r="X88" s="136"/>
      <c r="Y88" s="137"/>
      <c r="Z88" s="137"/>
      <c r="AA88" s="137"/>
      <c r="AB88" s="137"/>
      <c r="AC88" s="138"/>
      <c r="AD88" s="167"/>
      <c r="AE88" s="168"/>
      <c r="AF88" s="169"/>
    </row>
    <row r="89" spans="2:32" ht="16.149999999999999" customHeight="1">
      <c r="B89" s="154"/>
      <c r="C89" s="155"/>
      <c r="D89" s="155"/>
      <c r="E89" s="156"/>
      <c r="F89" s="59"/>
      <c r="G89" s="106" t="s">
        <v>175</v>
      </c>
      <c r="H89" s="107"/>
      <c r="I89" s="107"/>
      <c r="J89" s="107"/>
      <c r="K89" s="108"/>
      <c r="L89" s="111">
        <v>40</v>
      </c>
      <c r="M89" s="112"/>
      <c r="N89" s="103"/>
      <c r="O89" s="104"/>
      <c r="P89" s="162"/>
      <c r="Q89" s="103"/>
      <c r="R89" s="104"/>
      <c r="S89" s="162"/>
      <c r="T89" s="103"/>
      <c r="U89" s="104"/>
      <c r="V89" s="103"/>
      <c r="W89" s="104"/>
      <c r="X89" s="139"/>
      <c r="Y89" s="140"/>
      <c r="Z89" s="140"/>
      <c r="AA89" s="140"/>
      <c r="AB89" s="140"/>
      <c r="AC89" s="141"/>
      <c r="AD89" s="170"/>
      <c r="AE89" s="171"/>
      <c r="AF89" s="172"/>
    </row>
    <row r="90" spans="2:32" ht="16.149999999999999" customHeight="1">
      <c r="B90" s="12"/>
      <c r="C90" s="13"/>
      <c r="D90" s="13"/>
      <c r="E90" s="13"/>
      <c r="F90" s="13"/>
      <c r="G90" s="17"/>
      <c r="H90" s="17"/>
      <c r="I90" s="17"/>
      <c r="J90" s="17"/>
      <c r="K90" s="17"/>
      <c r="L90" s="17"/>
      <c r="M90" s="17"/>
      <c r="N90" s="250"/>
      <c r="O90" s="250"/>
      <c r="P90" s="250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57"/>
    </row>
    <row r="91" spans="2:32" ht="16.149999999999999" customHeight="1">
      <c r="B91" s="149" t="s">
        <v>186</v>
      </c>
      <c r="C91" s="150"/>
      <c r="D91" s="150"/>
      <c r="E91" s="151"/>
      <c r="F91" s="58"/>
      <c r="G91" s="157" t="s">
        <v>283</v>
      </c>
      <c r="H91" s="158"/>
      <c r="I91" s="158"/>
      <c r="J91" s="158"/>
      <c r="K91" s="158"/>
      <c r="L91" s="158"/>
      <c r="M91" s="159"/>
      <c r="N91" s="99">
        <f>23.69*L94/L93/L92</f>
        <v>37.904000000000003</v>
      </c>
      <c r="O91" s="100"/>
      <c r="P91" s="160"/>
      <c r="Q91" s="99">
        <f>0.096*L94</f>
        <v>3.84</v>
      </c>
      <c r="R91" s="100"/>
      <c r="S91" s="160"/>
      <c r="T91" s="99">
        <f>N61+N66+N76+N81+N86+N91</f>
        <v>50.264179339339343</v>
      </c>
      <c r="U91" s="100"/>
      <c r="V91" s="99">
        <f>Q61+Q66+Q76+Q81+Q86+Q91</f>
        <v>20.560493730387304</v>
      </c>
      <c r="W91" s="100"/>
      <c r="X91" s="133">
        <f>L68/SQRT(3)/SQRT((T91*T91)+(V91*V91))</f>
        <v>4.2525130885269276</v>
      </c>
      <c r="Y91" s="134"/>
      <c r="Z91" s="134"/>
      <c r="AA91" s="134"/>
      <c r="AB91" s="134"/>
      <c r="AC91" s="135"/>
      <c r="AD91" s="164">
        <v>10</v>
      </c>
      <c r="AE91" s="165"/>
      <c r="AF91" s="166"/>
    </row>
    <row r="92" spans="2:32" ht="16.149999999999999" customHeight="1">
      <c r="B92" s="105"/>
      <c r="C92" s="152"/>
      <c r="D92" s="152"/>
      <c r="E92" s="153"/>
      <c r="F92" s="105" t="s">
        <v>278</v>
      </c>
      <c r="G92" s="106" t="s">
        <v>174</v>
      </c>
      <c r="H92" s="107"/>
      <c r="I92" s="107"/>
      <c r="J92" s="107"/>
      <c r="K92" s="108"/>
      <c r="L92" s="109">
        <v>25</v>
      </c>
      <c r="M92" s="110"/>
      <c r="N92" s="101"/>
      <c r="O92" s="102"/>
      <c r="P92" s="161"/>
      <c r="Q92" s="101"/>
      <c r="R92" s="102"/>
      <c r="S92" s="161"/>
      <c r="T92" s="101"/>
      <c r="U92" s="102"/>
      <c r="V92" s="101"/>
      <c r="W92" s="102"/>
      <c r="X92" s="136"/>
      <c r="Y92" s="137"/>
      <c r="Z92" s="137"/>
      <c r="AA92" s="137"/>
      <c r="AB92" s="137"/>
      <c r="AC92" s="138"/>
      <c r="AD92" s="167"/>
      <c r="AE92" s="168"/>
      <c r="AF92" s="169"/>
    </row>
    <row r="93" spans="2:32" ht="16.149999999999999" customHeight="1">
      <c r="B93" s="105"/>
      <c r="C93" s="152"/>
      <c r="D93" s="152"/>
      <c r="E93" s="153"/>
      <c r="F93" s="105"/>
      <c r="G93" s="106" t="s">
        <v>265</v>
      </c>
      <c r="H93" s="107"/>
      <c r="I93" s="107"/>
      <c r="J93" s="107"/>
      <c r="K93" s="108"/>
      <c r="L93" s="111">
        <v>1</v>
      </c>
      <c r="M93" s="112"/>
      <c r="N93" s="101"/>
      <c r="O93" s="102"/>
      <c r="P93" s="161"/>
      <c r="Q93" s="101"/>
      <c r="R93" s="102"/>
      <c r="S93" s="161"/>
      <c r="T93" s="101"/>
      <c r="U93" s="102"/>
      <c r="V93" s="101"/>
      <c r="W93" s="102"/>
      <c r="X93" s="136"/>
      <c r="Y93" s="137"/>
      <c r="Z93" s="137"/>
      <c r="AA93" s="137"/>
      <c r="AB93" s="137"/>
      <c r="AC93" s="138"/>
      <c r="AD93" s="167"/>
      <c r="AE93" s="168"/>
      <c r="AF93" s="169"/>
    </row>
    <row r="94" spans="2:32" ht="16.149999999999999" customHeight="1">
      <c r="B94" s="154"/>
      <c r="C94" s="155"/>
      <c r="D94" s="155"/>
      <c r="E94" s="156"/>
      <c r="F94" s="59"/>
      <c r="G94" s="106" t="s">
        <v>175</v>
      </c>
      <c r="H94" s="107"/>
      <c r="I94" s="107"/>
      <c r="J94" s="107"/>
      <c r="K94" s="108"/>
      <c r="L94" s="111">
        <v>40</v>
      </c>
      <c r="M94" s="112"/>
      <c r="N94" s="103"/>
      <c r="O94" s="104"/>
      <c r="P94" s="162"/>
      <c r="Q94" s="103"/>
      <c r="R94" s="104"/>
      <c r="S94" s="162"/>
      <c r="T94" s="103"/>
      <c r="U94" s="104"/>
      <c r="V94" s="103"/>
      <c r="W94" s="104"/>
      <c r="X94" s="139"/>
      <c r="Y94" s="140"/>
      <c r="Z94" s="140"/>
      <c r="AA94" s="140"/>
      <c r="AB94" s="140"/>
      <c r="AC94" s="141"/>
      <c r="AD94" s="170"/>
      <c r="AE94" s="171"/>
      <c r="AF94" s="172"/>
    </row>
    <row r="95" spans="2:32" ht="15.75" customHeight="1"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249"/>
      <c r="O95" s="126"/>
      <c r="P95" s="126"/>
      <c r="Q95" s="249"/>
      <c r="R95" s="249"/>
      <c r="S95" s="249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</row>
    <row r="96" spans="2:32" ht="13.5" hidden="1" customHeight="1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4"/>
    </row>
    <row r="97" spans="2:32" ht="13.5" hidden="1" customHeight="1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4"/>
    </row>
    <row r="98" spans="2:32" ht="13.5" hidden="1" customHeight="1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4"/>
    </row>
    <row r="99" spans="2:32" s="11" customFormat="1" ht="13.5" hidden="1" customHeight="1">
      <c r="B99" s="9"/>
      <c r="C99" s="3"/>
      <c r="D99" s="9"/>
      <c r="E99" s="9" t="s">
        <v>87</v>
      </c>
      <c r="F99" s="9"/>
      <c r="G99" s="9"/>
      <c r="H99" s="9"/>
      <c r="I99" s="9"/>
      <c r="J99" s="28"/>
      <c r="K99" s="28"/>
      <c r="L99" s="28"/>
      <c r="M99" s="9"/>
      <c r="N99" s="16"/>
      <c r="O99" s="16"/>
      <c r="P99" s="16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10"/>
    </row>
    <row r="100" spans="2:32" ht="13.5" hidden="1" customHeight="1">
      <c r="B100" s="13"/>
      <c r="C100" s="2"/>
      <c r="D100" s="13"/>
      <c r="E100" s="13"/>
      <c r="F100" s="13"/>
      <c r="G100" s="13"/>
      <c r="H100" s="13"/>
      <c r="I100" s="13"/>
      <c r="J100" s="29"/>
      <c r="K100" s="29"/>
      <c r="L100" s="29"/>
      <c r="M100" s="13"/>
      <c r="N100" s="17"/>
      <c r="O100" s="17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4"/>
      <c r="AF100" s="14"/>
    </row>
    <row r="101" spans="2:32" ht="13.5" hidden="1" customHeight="1">
      <c r="B101" s="13"/>
      <c r="C101" s="2"/>
      <c r="D101" s="13"/>
      <c r="E101" s="13"/>
      <c r="F101" s="13"/>
      <c r="G101" s="13"/>
      <c r="H101" s="13"/>
      <c r="I101" s="13" t="s">
        <v>64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4"/>
      <c r="AF101" s="14"/>
    </row>
    <row r="102" spans="2:32" ht="13.5" hidden="1" customHeight="1">
      <c r="B102" s="13"/>
      <c r="C102" s="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4"/>
      <c r="AF102" s="14"/>
    </row>
    <row r="103" spans="2:32" ht="13.5" hidden="1" customHeight="1">
      <c r="B103" s="13"/>
      <c r="C103" s="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4"/>
      <c r="AF103" s="14"/>
    </row>
    <row r="104" spans="2:32" ht="13.5" hidden="1" customHeight="1">
      <c r="B104" s="13"/>
      <c r="C104" s="2"/>
      <c r="D104" s="13"/>
      <c r="E104" s="13"/>
      <c r="F104" s="13"/>
      <c r="G104" s="9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4"/>
      <c r="AF104" s="14"/>
    </row>
    <row r="105" spans="2:32" ht="13.5" hidden="1" customHeight="1">
      <c r="B105" s="13"/>
      <c r="C105" s="2"/>
      <c r="D105" s="13"/>
      <c r="E105" s="13"/>
      <c r="F105" s="13"/>
      <c r="G105" s="13"/>
      <c r="H105" s="13"/>
      <c r="I105" s="13"/>
      <c r="J105" s="13"/>
      <c r="K105" s="13"/>
      <c r="L105" s="13"/>
      <c r="M105" s="13" t="s">
        <v>88</v>
      </c>
      <c r="N105" s="30" t="s">
        <v>1</v>
      </c>
      <c r="O105" s="177" t="e">
        <f>#REF!</f>
        <v>#REF!</v>
      </c>
      <c r="P105" s="177"/>
      <c r="Q105" s="177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4"/>
      <c r="AF105" s="14"/>
    </row>
    <row r="106" spans="2:32" ht="13.5" hidden="1" customHeight="1">
      <c r="B106" s="13"/>
      <c r="C106" s="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30"/>
      <c r="O106" s="125"/>
      <c r="P106" s="125"/>
      <c r="Q106" s="125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4"/>
      <c r="AF106" s="14"/>
    </row>
    <row r="107" spans="2:32" ht="13.5" hidden="1" customHeight="1">
      <c r="B107" s="13"/>
      <c r="C107" s="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30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4"/>
      <c r="AF107" s="14"/>
    </row>
    <row r="108" spans="2:32" ht="13.5" hidden="1" customHeight="1">
      <c r="B108" s="13"/>
      <c r="C108" s="2"/>
      <c r="D108" s="13"/>
      <c r="E108" s="13"/>
      <c r="F108" s="13"/>
      <c r="G108" s="13"/>
      <c r="H108" s="13"/>
      <c r="I108" s="13"/>
      <c r="J108" s="13"/>
      <c r="K108" s="13"/>
      <c r="L108" s="13"/>
      <c r="M108" s="13" t="s">
        <v>89</v>
      </c>
      <c r="N108" s="30" t="s">
        <v>1</v>
      </c>
      <c r="O108" s="13" t="s">
        <v>90</v>
      </c>
      <c r="P108" s="13"/>
      <c r="Q108" s="13"/>
      <c r="R108" s="13"/>
      <c r="S108" s="13"/>
      <c r="T108" s="13"/>
      <c r="U108" s="13"/>
      <c r="V108" s="177" t="e">
        <f>#REF!</f>
        <v>#REF!</v>
      </c>
      <c r="W108" s="177"/>
      <c r="X108" s="13"/>
      <c r="Y108" s="13"/>
      <c r="Z108" s="13"/>
      <c r="AA108" s="13"/>
      <c r="AB108" s="13"/>
      <c r="AC108" s="13"/>
      <c r="AD108" s="13"/>
      <c r="AE108" s="14"/>
      <c r="AF108" s="14"/>
    </row>
    <row r="109" spans="2:32" ht="13.5" hidden="1" customHeight="1">
      <c r="B109" s="13"/>
      <c r="C109" s="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4"/>
      <c r="AF109" s="14"/>
    </row>
    <row r="110" spans="2:32" ht="13.5" hidden="1" customHeight="1">
      <c r="B110" s="13"/>
      <c r="C110" s="2"/>
      <c r="D110" s="13"/>
      <c r="E110" s="13"/>
      <c r="F110" s="13"/>
      <c r="G110" s="13"/>
      <c r="H110" s="13"/>
      <c r="I110" s="13"/>
      <c r="J110" s="13"/>
      <c r="K110" s="13"/>
      <c r="L110" s="13"/>
      <c r="M110" s="13" t="s">
        <v>94</v>
      </c>
      <c r="N110" s="30" t="s">
        <v>1</v>
      </c>
      <c r="O110" s="177" t="e">
        <f>#REF!</f>
        <v>#REF!</v>
      </c>
      <c r="P110" s="177"/>
      <c r="Q110" s="177"/>
      <c r="R110" s="13"/>
      <c r="S110" s="13"/>
      <c r="T110" s="13"/>
      <c r="U110" s="13"/>
      <c r="V110" s="125"/>
      <c r="W110" s="125"/>
      <c r="X110" s="13"/>
      <c r="Y110" s="13"/>
      <c r="Z110" s="13"/>
      <c r="AA110" s="13"/>
      <c r="AB110" s="13"/>
      <c r="AC110" s="13"/>
      <c r="AD110" s="13"/>
      <c r="AE110" s="14"/>
      <c r="AF110" s="14"/>
    </row>
    <row r="111" spans="2:32" ht="13.5" hidden="1" customHeight="1">
      <c r="B111" s="13"/>
      <c r="C111" s="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4"/>
      <c r="AF111" s="14"/>
    </row>
    <row r="112" spans="2:32" ht="13.5" hidden="1" customHeight="1">
      <c r="B112" s="13"/>
      <c r="C112" s="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4"/>
      <c r="AF112" s="14"/>
    </row>
    <row r="113" spans="2:32" ht="13.5" hidden="1" customHeight="1">
      <c r="B113" s="13"/>
      <c r="C113" s="2"/>
      <c r="D113" s="13"/>
      <c r="E113" s="13"/>
      <c r="F113" s="13"/>
      <c r="G113" s="13"/>
      <c r="H113" s="13"/>
      <c r="I113" s="13"/>
      <c r="J113" s="13"/>
      <c r="K113" s="13"/>
      <c r="L113" s="13"/>
      <c r="M113" s="13" t="s">
        <v>66</v>
      </c>
      <c r="N113" s="30" t="s">
        <v>1</v>
      </c>
      <c r="O113" s="177" t="e">
        <f>#REF!</f>
        <v>#REF!</v>
      </c>
      <c r="P113" s="177"/>
      <c r="Q113" s="177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4"/>
      <c r="AF113" s="14"/>
    </row>
    <row r="114" spans="2:32" ht="13.5" hidden="1" customHeight="1">
      <c r="B114" s="13"/>
      <c r="C114" s="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4"/>
      <c r="AF114" s="14"/>
    </row>
    <row r="115" spans="2:32" ht="13.5" hidden="1" customHeight="1">
      <c r="B115" s="13"/>
      <c r="C115" s="2"/>
      <c r="D115" s="13"/>
      <c r="E115" s="13"/>
      <c r="F115" s="13"/>
      <c r="G115" s="13"/>
      <c r="H115" s="13"/>
      <c r="I115" s="13"/>
      <c r="J115" s="13"/>
      <c r="K115" s="13"/>
      <c r="L115" s="13"/>
      <c r="M115" s="13" t="s">
        <v>67</v>
      </c>
      <c r="N115" s="13"/>
      <c r="O115" s="30" t="s">
        <v>1</v>
      </c>
      <c r="P115" s="177" t="e">
        <f>#REF!</f>
        <v>#REF!</v>
      </c>
      <c r="Q115" s="177"/>
      <c r="R115" s="177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4"/>
      <c r="AF115" s="14"/>
    </row>
    <row r="116" spans="2:32" ht="13.5" hidden="1" customHeight="1">
      <c r="B116" s="13"/>
      <c r="C116" s="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4"/>
      <c r="AF116" s="14"/>
    </row>
    <row r="117" spans="2:32" ht="13.5" hidden="1" customHeight="1">
      <c r="B117" s="13"/>
      <c r="C117" s="2"/>
      <c r="D117" s="13"/>
      <c r="E117" s="13"/>
      <c r="F117" s="13"/>
      <c r="G117" s="13"/>
      <c r="H117" s="13"/>
      <c r="I117" s="13"/>
      <c r="J117" s="13"/>
      <c r="K117" s="13"/>
      <c r="L117" s="13"/>
      <c r="M117" s="13" t="s">
        <v>34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4"/>
      <c r="AF117" s="14"/>
    </row>
    <row r="118" spans="2:32" ht="13.5" hidden="1" customHeight="1">
      <c r="B118" s="13"/>
      <c r="C118" s="2"/>
      <c r="D118" s="13"/>
      <c r="E118" s="13"/>
      <c r="F118" s="13"/>
      <c r="G118" s="13"/>
      <c r="H118" s="13"/>
      <c r="I118" s="13"/>
      <c r="J118" s="13"/>
      <c r="K118" s="13"/>
      <c r="L118" s="13"/>
      <c r="M118" s="13" t="s">
        <v>32</v>
      </c>
      <c r="N118" s="13"/>
      <c r="O118" s="13" t="s">
        <v>33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4"/>
      <c r="AF118" s="14"/>
    </row>
    <row r="119" spans="2:32" ht="13.5" hidden="1" customHeight="1">
      <c r="B119" s="13"/>
      <c r="C119" s="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4"/>
      <c r="AF119" s="14"/>
    </row>
    <row r="120" spans="2:32" ht="13.5" hidden="1" customHeight="1">
      <c r="B120" s="13"/>
      <c r="C120" s="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4"/>
      <c r="AF120" s="14"/>
    </row>
    <row r="121" spans="2:32" s="11" customFormat="1" ht="13.5" hidden="1" customHeight="1">
      <c r="B121" s="9"/>
      <c r="C121" s="9"/>
      <c r="D121" s="9" t="s">
        <v>35</v>
      </c>
      <c r="E121" s="9"/>
      <c r="F121" s="9"/>
      <c r="G121" s="9"/>
      <c r="H121" s="9"/>
      <c r="I121" s="9"/>
      <c r="J121" s="28"/>
      <c r="K121" s="28"/>
      <c r="L121" s="28"/>
      <c r="M121" s="9"/>
      <c r="N121" s="16"/>
      <c r="O121" s="16"/>
      <c r="P121" s="16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10"/>
      <c r="AF121" s="10"/>
    </row>
    <row r="122" spans="2:32" s="11" customFormat="1" ht="13.5" hidden="1" customHeight="1">
      <c r="B122" s="9"/>
      <c r="C122" s="3"/>
      <c r="D122" s="9" t="s">
        <v>76</v>
      </c>
      <c r="E122" s="9"/>
      <c r="F122" s="9"/>
      <c r="G122" s="9"/>
      <c r="H122" s="185">
        <v>2</v>
      </c>
      <c r="I122" s="185"/>
      <c r="J122" s="9" t="s">
        <v>142</v>
      </c>
      <c r="K122" s="28"/>
      <c r="L122" s="28"/>
      <c r="M122" s="9"/>
      <c r="N122" s="16"/>
      <c r="O122" s="16"/>
      <c r="P122" s="16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10"/>
    </row>
    <row r="123" spans="2:32" s="11" customFormat="1" ht="13.5" hidden="1" customHeight="1">
      <c r="B123" s="9"/>
      <c r="C123" s="3"/>
      <c r="D123" s="9" t="s">
        <v>158</v>
      </c>
      <c r="E123" s="9"/>
      <c r="F123" s="9"/>
      <c r="G123" s="9"/>
      <c r="H123" s="9"/>
      <c r="I123" s="9"/>
      <c r="J123" s="28"/>
      <c r="K123" s="32" t="s">
        <v>1</v>
      </c>
      <c r="L123" s="204">
        <v>6</v>
      </c>
      <c r="M123" s="204"/>
      <c r="N123" s="204"/>
      <c r="O123" s="33" t="s">
        <v>77</v>
      </c>
      <c r="P123" s="16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10"/>
    </row>
    <row r="124" spans="2:32" ht="13.5" hidden="1" customHeight="1">
      <c r="B124" s="13"/>
      <c r="C124" s="2"/>
      <c r="D124" s="13"/>
      <c r="E124" s="13"/>
      <c r="F124" s="13"/>
      <c r="G124" s="13"/>
      <c r="H124" s="13"/>
      <c r="I124" s="13"/>
      <c r="J124" s="29"/>
      <c r="K124" s="29"/>
      <c r="L124" s="29"/>
      <c r="M124" s="13"/>
      <c r="N124" s="17"/>
      <c r="O124" s="17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4"/>
      <c r="AF124" s="14"/>
    </row>
    <row r="125" spans="2:32" ht="13.5" hidden="1" customHeight="1">
      <c r="B125" s="13"/>
      <c r="C125" s="2"/>
      <c r="D125" s="13"/>
      <c r="E125" s="13"/>
      <c r="F125" s="13"/>
      <c r="G125" s="13"/>
      <c r="H125" s="13"/>
      <c r="I125" s="13"/>
      <c r="J125" s="29"/>
      <c r="K125" s="29"/>
      <c r="L125" s="6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4"/>
      <c r="AF125" s="14"/>
    </row>
    <row r="126" spans="2:32" ht="13.5" hidden="1" customHeight="1">
      <c r="B126" s="13"/>
      <c r="C126" s="2"/>
      <c r="D126" s="13"/>
      <c r="E126" s="13"/>
      <c r="F126" s="113" t="s">
        <v>163</v>
      </c>
      <c r="G126" s="113"/>
      <c r="H126" s="113"/>
      <c r="I126" s="113"/>
      <c r="J126" s="113"/>
      <c r="K126" s="113"/>
      <c r="L126" s="113"/>
      <c r="M126" s="173" t="s">
        <v>1</v>
      </c>
      <c r="N126" s="146" t="s">
        <v>159</v>
      </c>
      <c r="O126" s="146"/>
      <c r="P126" s="146"/>
      <c r="Q126" s="146"/>
      <c r="R126" s="146"/>
      <c r="S126" s="146"/>
      <c r="T126" s="146"/>
      <c r="U126" s="146"/>
      <c r="V126" s="113" t="s">
        <v>162</v>
      </c>
      <c r="W126" s="113"/>
      <c r="X126" s="113"/>
      <c r="Y126" s="113"/>
      <c r="Z126" s="113"/>
      <c r="AA126" s="113"/>
      <c r="AB126" s="113"/>
      <c r="AC126" s="13"/>
      <c r="AD126" s="13"/>
      <c r="AE126" s="14"/>
      <c r="AF126" s="14"/>
    </row>
    <row r="127" spans="2:32" ht="13.5" hidden="1" customHeight="1">
      <c r="B127" s="13"/>
      <c r="C127" s="2"/>
      <c r="D127" s="13"/>
      <c r="E127" s="13"/>
      <c r="F127" s="113"/>
      <c r="G127" s="113"/>
      <c r="H127" s="113"/>
      <c r="I127" s="113"/>
      <c r="J127" s="113"/>
      <c r="K127" s="113"/>
      <c r="L127" s="113"/>
      <c r="M127" s="113"/>
      <c r="N127" s="126" t="s">
        <v>160</v>
      </c>
      <c r="O127" s="126"/>
      <c r="P127" s="126"/>
      <c r="Q127" s="126"/>
      <c r="R127" s="126"/>
      <c r="S127" s="126"/>
      <c r="T127" s="126"/>
      <c r="U127" s="126"/>
      <c r="V127" s="113"/>
      <c r="W127" s="113"/>
      <c r="X127" s="113"/>
      <c r="Y127" s="113"/>
      <c r="Z127" s="113"/>
      <c r="AA127" s="113"/>
      <c r="AB127" s="113"/>
      <c r="AC127" s="13"/>
      <c r="AD127" s="13"/>
      <c r="AE127" s="14"/>
      <c r="AF127" s="14"/>
    </row>
    <row r="128" spans="2:32" ht="13.5" hidden="1" customHeight="1">
      <c r="B128" s="13"/>
      <c r="C128" s="2"/>
      <c r="D128" s="13"/>
      <c r="E128" s="13"/>
      <c r="F128" s="13"/>
      <c r="G128" s="13"/>
      <c r="H128" s="13"/>
      <c r="I128" s="13"/>
      <c r="J128" s="29"/>
      <c r="K128" s="29"/>
      <c r="L128" s="6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4"/>
      <c r="AF128" s="14"/>
    </row>
    <row r="129" spans="2:32" ht="13.5" hidden="1" customHeight="1">
      <c r="B129" s="13"/>
      <c r="C129" s="2"/>
      <c r="D129" s="13"/>
      <c r="E129" s="13"/>
      <c r="F129" s="113" t="s">
        <v>163</v>
      </c>
      <c r="G129" s="113"/>
      <c r="H129" s="113"/>
      <c r="I129" s="113"/>
      <c r="J129" s="113"/>
      <c r="K129" s="113"/>
      <c r="L129" s="113"/>
      <c r="M129" s="173" t="s">
        <v>1</v>
      </c>
      <c r="N129" s="174" t="e">
        <f>#REF!</f>
        <v>#REF!</v>
      </c>
      <c r="O129" s="174"/>
      <c r="P129" s="174"/>
      <c r="Q129" s="174"/>
      <c r="R129" s="174"/>
      <c r="S129" s="174"/>
      <c r="T129" s="174"/>
      <c r="U129" s="174"/>
      <c r="V129" s="176">
        <f>L123/1000</f>
        <v>6.0000000000000001E-3</v>
      </c>
      <c r="W129" s="176"/>
      <c r="X129" s="176"/>
      <c r="Y129" s="13"/>
      <c r="Z129" s="13"/>
      <c r="AA129" s="13"/>
      <c r="AB129" s="13"/>
      <c r="AC129" s="13"/>
      <c r="AD129" s="13"/>
      <c r="AE129" s="14"/>
      <c r="AF129" s="14"/>
    </row>
    <row r="130" spans="2:32" ht="13.5" hidden="1" customHeight="1">
      <c r="B130" s="13"/>
      <c r="C130" s="2"/>
      <c r="D130" s="13"/>
      <c r="E130" s="13"/>
      <c r="F130" s="113"/>
      <c r="G130" s="113"/>
      <c r="H130" s="113"/>
      <c r="I130" s="113"/>
      <c r="J130" s="113"/>
      <c r="K130" s="113"/>
      <c r="L130" s="113"/>
      <c r="M130" s="113"/>
      <c r="N130" s="196">
        <f>H122</f>
        <v>2</v>
      </c>
      <c r="O130" s="196"/>
      <c r="P130" s="196"/>
      <c r="Q130" s="196"/>
      <c r="R130" s="196"/>
      <c r="S130" s="196"/>
      <c r="T130" s="196"/>
      <c r="U130" s="196"/>
      <c r="V130" s="176"/>
      <c r="W130" s="176"/>
      <c r="X130" s="176"/>
      <c r="Y130" s="13"/>
      <c r="Z130" s="13"/>
      <c r="AA130" s="13"/>
      <c r="AB130" s="13"/>
      <c r="AC130" s="13"/>
      <c r="AD130" s="13"/>
      <c r="AE130" s="14"/>
      <c r="AF130" s="14"/>
    </row>
    <row r="131" spans="2:32" ht="13.5" hidden="1" customHeight="1">
      <c r="B131" s="13"/>
      <c r="C131" s="2"/>
      <c r="D131" s="13"/>
      <c r="E131" s="13"/>
      <c r="F131" s="13"/>
      <c r="G131" s="13"/>
      <c r="H131" s="13"/>
      <c r="I131" s="13"/>
      <c r="J131" s="29"/>
      <c r="K131" s="29"/>
      <c r="L131" s="6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4"/>
      <c r="AF131" s="14"/>
    </row>
    <row r="132" spans="2:32" ht="13.5" hidden="1" customHeight="1">
      <c r="B132" s="13"/>
      <c r="C132" s="2"/>
      <c r="D132" s="13"/>
      <c r="E132" s="13"/>
      <c r="F132" s="113" t="s">
        <v>163</v>
      </c>
      <c r="G132" s="113"/>
      <c r="H132" s="113"/>
      <c r="I132" s="113"/>
      <c r="J132" s="113"/>
      <c r="K132" s="113"/>
      <c r="L132" s="113"/>
      <c r="M132" s="173" t="s">
        <v>1</v>
      </c>
      <c r="N132" s="176" t="e">
        <f>(N129/N130)*V129</f>
        <v>#REF!</v>
      </c>
      <c r="O132" s="176"/>
      <c r="P132" s="176"/>
      <c r="Q132" s="13"/>
      <c r="R132" s="113" t="s">
        <v>78</v>
      </c>
      <c r="S132" s="113"/>
      <c r="T132" s="1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4"/>
      <c r="AF132" s="14"/>
    </row>
    <row r="133" spans="2:32" ht="13.5" hidden="1" customHeight="1">
      <c r="B133" s="13"/>
      <c r="C133" s="2"/>
      <c r="D133" s="13"/>
      <c r="E133" s="13"/>
      <c r="F133" s="113"/>
      <c r="G133" s="113"/>
      <c r="H133" s="113"/>
      <c r="I133" s="113"/>
      <c r="J133" s="113"/>
      <c r="K133" s="113"/>
      <c r="L133" s="113"/>
      <c r="M133" s="113"/>
      <c r="N133" s="176"/>
      <c r="O133" s="176"/>
      <c r="P133" s="176"/>
      <c r="Q133" s="13"/>
      <c r="R133" s="113"/>
      <c r="S133" s="113"/>
      <c r="T133" s="1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4"/>
      <c r="AF133" s="14"/>
    </row>
    <row r="134" spans="2:32" ht="13.5" hidden="1" customHeight="1">
      <c r="B134" s="13"/>
      <c r="C134" s="2"/>
      <c r="D134" s="13"/>
      <c r="E134" s="13"/>
      <c r="F134" s="13"/>
      <c r="G134" s="13"/>
      <c r="H134" s="13"/>
      <c r="I134" s="13"/>
      <c r="J134" s="29"/>
      <c r="K134" s="29"/>
      <c r="L134" s="6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4"/>
      <c r="AF134" s="14"/>
    </row>
    <row r="135" spans="2:32" ht="13.5" hidden="1" customHeight="1">
      <c r="B135" s="13"/>
      <c r="C135" s="2"/>
      <c r="D135" s="13"/>
      <c r="E135" s="13"/>
      <c r="F135" s="13"/>
      <c r="G135" s="13"/>
      <c r="H135" s="13"/>
      <c r="I135" s="13"/>
      <c r="J135" s="29"/>
      <c r="K135" s="29"/>
      <c r="L135" s="6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4"/>
      <c r="AF135" s="14"/>
    </row>
    <row r="136" spans="2:32" ht="13.5" hidden="1" customHeight="1">
      <c r="B136" s="13"/>
      <c r="C136" s="2"/>
      <c r="D136" s="13"/>
      <c r="E136" s="13"/>
      <c r="F136" s="113" t="s">
        <v>164</v>
      </c>
      <c r="G136" s="113"/>
      <c r="H136" s="113"/>
      <c r="I136" s="113"/>
      <c r="J136" s="113"/>
      <c r="K136" s="113"/>
      <c r="L136" s="113"/>
      <c r="M136" s="173" t="s">
        <v>1</v>
      </c>
      <c r="N136" s="146" t="s">
        <v>161</v>
      </c>
      <c r="O136" s="146"/>
      <c r="P136" s="146"/>
      <c r="Q136" s="146"/>
      <c r="R136" s="146"/>
      <c r="S136" s="146"/>
      <c r="T136" s="146"/>
      <c r="U136" s="146"/>
      <c r="V136" s="113" t="s">
        <v>162</v>
      </c>
      <c r="W136" s="113"/>
      <c r="X136" s="113"/>
      <c r="Y136" s="113"/>
      <c r="Z136" s="113"/>
      <c r="AA136" s="113"/>
      <c r="AB136" s="113"/>
      <c r="AC136" s="13"/>
      <c r="AD136" s="13"/>
      <c r="AE136" s="14"/>
      <c r="AF136" s="14"/>
    </row>
    <row r="137" spans="2:32" ht="13.5" hidden="1" customHeight="1">
      <c r="B137" s="13"/>
      <c r="C137" s="2"/>
      <c r="D137" s="13"/>
      <c r="E137" s="13"/>
      <c r="F137" s="113"/>
      <c r="G137" s="113"/>
      <c r="H137" s="113"/>
      <c r="I137" s="113"/>
      <c r="J137" s="113"/>
      <c r="K137" s="113"/>
      <c r="L137" s="113"/>
      <c r="M137" s="113"/>
      <c r="N137" s="126" t="s">
        <v>160</v>
      </c>
      <c r="O137" s="126"/>
      <c r="P137" s="126"/>
      <c r="Q137" s="126"/>
      <c r="R137" s="126"/>
      <c r="S137" s="126"/>
      <c r="T137" s="126"/>
      <c r="U137" s="126"/>
      <c r="V137" s="113"/>
      <c r="W137" s="113"/>
      <c r="X137" s="113"/>
      <c r="Y137" s="113"/>
      <c r="Z137" s="113"/>
      <c r="AA137" s="113"/>
      <c r="AB137" s="113"/>
      <c r="AC137" s="13"/>
      <c r="AD137" s="13"/>
      <c r="AE137" s="14"/>
      <c r="AF137" s="14"/>
    </row>
    <row r="138" spans="2:32" ht="13.5" hidden="1" customHeight="1">
      <c r="B138" s="13"/>
      <c r="C138" s="2"/>
      <c r="D138" s="13"/>
      <c r="E138" s="13"/>
      <c r="F138" s="13"/>
      <c r="G138" s="13"/>
      <c r="H138" s="13"/>
      <c r="I138" s="13"/>
      <c r="J138" s="29"/>
      <c r="K138" s="29"/>
      <c r="L138" s="6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4"/>
      <c r="AF138" s="14"/>
    </row>
    <row r="139" spans="2:32" ht="13.5" hidden="1" customHeight="1">
      <c r="B139" s="13"/>
      <c r="C139" s="2"/>
      <c r="D139" s="13"/>
      <c r="E139" s="13"/>
      <c r="F139" s="113" t="s">
        <v>164</v>
      </c>
      <c r="G139" s="113"/>
      <c r="H139" s="113"/>
      <c r="I139" s="113"/>
      <c r="J139" s="113"/>
      <c r="K139" s="113"/>
      <c r="L139" s="113"/>
      <c r="M139" s="173" t="s">
        <v>1</v>
      </c>
      <c r="N139" s="174" t="e">
        <f>#REF!</f>
        <v>#REF!</v>
      </c>
      <c r="O139" s="174"/>
      <c r="P139" s="174"/>
      <c r="Q139" s="174"/>
      <c r="R139" s="174"/>
      <c r="S139" s="174"/>
      <c r="T139" s="174"/>
      <c r="U139" s="174"/>
      <c r="V139" s="176">
        <f>L123/1000</f>
        <v>6.0000000000000001E-3</v>
      </c>
      <c r="W139" s="176"/>
      <c r="X139" s="176"/>
      <c r="Y139" s="13"/>
      <c r="Z139" s="13"/>
      <c r="AA139" s="13"/>
      <c r="AB139" s="13"/>
      <c r="AC139" s="13"/>
      <c r="AD139" s="13"/>
      <c r="AE139" s="14"/>
      <c r="AF139" s="14"/>
    </row>
    <row r="140" spans="2:32" ht="13.5" hidden="1" customHeight="1">
      <c r="B140" s="13"/>
      <c r="C140" s="2"/>
      <c r="D140" s="13"/>
      <c r="E140" s="13"/>
      <c r="F140" s="113"/>
      <c r="G140" s="113"/>
      <c r="H140" s="113"/>
      <c r="I140" s="113"/>
      <c r="J140" s="113"/>
      <c r="K140" s="113"/>
      <c r="L140" s="113"/>
      <c r="M140" s="113"/>
      <c r="N140" s="196">
        <f>H122</f>
        <v>2</v>
      </c>
      <c r="O140" s="196"/>
      <c r="P140" s="196"/>
      <c r="Q140" s="196"/>
      <c r="R140" s="196"/>
      <c r="S140" s="196"/>
      <c r="T140" s="196"/>
      <c r="U140" s="196"/>
      <c r="V140" s="176"/>
      <c r="W140" s="176"/>
      <c r="X140" s="176"/>
      <c r="Y140" s="13"/>
      <c r="Z140" s="13"/>
      <c r="AA140" s="13"/>
      <c r="AB140" s="13"/>
      <c r="AC140" s="13"/>
      <c r="AD140" s="13"/>
      <c r="AE140" s="14"/>
      <c r="AF140" s="14"/>
    </row>
    <row r="141" spans="2:32" ht="13.5" hidden="1" customHeight="1">
      <c r="B141" s="13"/>
      <c r="C141" s="2"/>
      <c r="D141" s="13"/>
      <c r="E141" s="13"/>
      <c r="F141" s="13"/>
      <c r="G141" s="13"/>
      <c r="H141" s="13"/>
      <c r="I141" s="13"/>
      <c r="J141" s="29"/>
      <c r="K141" s="29"/>
      <c r="L141" s="6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4"/>
      <c r="AF141" s="14"/>
    </row>
    <row r="142" spans="2:32" ht="13.5" hidden="1" customHeight="1">
      <c r="B142" s="13"/>
      <c r="C142" s="2"/>
      <c r="D142" s="13"/>
      <c r="E142" s="13"/>
      <c r="F142" s="113" t="s">
        <v>164</v>
      </c>
      <c r="G142" s="113"/>
      <c r="H142" s="113"/>
      <c r="I142" s="113"/>
      <c r="J142" s="113"/>
      <c r="K142" s="113"/>
      <c r="L142" s="113"/>
      <c r="M142" s="173" t="s">
        <v>1</v>
      </c>
      <c r="N142" s="176" t="e">
        <f>(N139/N140)*V139</f>
        <v>#REF!</v>
      </c>
      <c r="O142" s="176"/>
      <c r="P142" s="176"/>
      <c r="Q142" s="13"/>
      <c r="R142" s="113" t="s">
        <v>78</v>
      </c>
      <c r="S142" s="113"/>
      <c r="T142" s="1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4"/>
      <c r="AF142" s="14"/>
    </row>
    <row r="143" spans="2:32" ht="13.5" hidden="1" customHeight="1">
      <c r="B143" s="13"/>
      <c r="C143" s="2"/>
      <c r="D143" s="13"/>
      <c r="E143" s="13"/>
      <c r="F143" s="113"/>
      <c r="G143" s="113"/>
      <c r="H143" s="113"/>
      <c r="I143" s="113"/>
      <c r="J143" s="113"/>
      <c r="K143" s="113"/>
      <c r="L143" s="113"/>
      <c r="M143" s="113"/>
      <c r="N143" s="176"/>
      <c r="O143" s="176"/>
      <c r="P143" s="176"/>
      <c r="Q143" s="13"/>
      <c r="R143" s="113"/>
      <c r="S143" s="113"/>
      <c r="T143" s="1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4"/>
      <c r="AF143" s="14"/>
    </row>
    <row r="144" spans="2:32" ht="13.5" hidden="1" customHeight="1">
      <c r="B144" s="21"/>
      <c r="C144" s="34"/>
      <c r="D144" s="21"/>
      <c r="E144" s="21"/>
      <c r="F144" s="21"/>
      <c r="G144" s="21"/>
      <c r="H144" s="21"/>
      <c r="I144" s="21"/>
      <c r="J144" s="35"/>
      <c r="K144" s="35"/>
      <c r="L144" s="22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3"/>
      <c r="AF144" s="14"/>
    </row>
    <row r="145" spans="2:32" ht="13.5" hidden="1" customHeight="1">
      <c r="B145" s="13"/>
      <c r="C145" s="2"/>
      <c r="D145" s="13"/>
      <c r="E145" s="13"/>
      <c r="F145" s="13"/>
      <c r="G145" s="13"/>
      <c r="H145" s="13"/>
      <c r="I145" s="13"/>
      <c r="J145" s="29"/>
      <c r="K145" s="29"/>
      <c r="L145" s="6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4"/>
      <c r="AF145" s="14"/>
    </row>
    <row r="146" spans="2:32" s="11" customFormat="1" ht="13.5" hidden="1" customHeight="1">
      <c r="B146" s="9"/>
      <c r="C146" s="3"/>
      <c r="D146" s="9"/>
      <c r="E146" s="9"/>
      <c r="F146" s="9" t="s">
        <v>21</v>
      </c>
      <c r="G146" s="9" t="s">
        <v>79</v>
      </c>
      <c r="H146" s="9"/>
      <c r="I146" s="9"/>
      <c r="J146" s="28"/>
      <c r="K146" s="28"/>
      <c r="L146" s="7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10"/>
      <c r="AF146" s="10"/>
    </row>
    <row r="147" spans="2:32" ht="13.5" hidden="1" customHeight="1">
      <c r="B147" s="13"/>
      <c r="C147" s="2"/>
      <c r="D147" s="13"/>
      <c r="E147" s="13"/>
      <c r="F147" s="13"/>
      <c r="G147" s="13"/>
      <c r="H147" s="13"/>
      <c r="I147" s="13"/>
      <c r="J147" s="29"/>
      <c r="K147" s="29"/>
      <c r="L147" s="6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4"/>
      <c r="AF147" s="14"/>
    </row>
    <row r="148" spans="2:32" ht="13.5" hidden="1" customHeight="1">
      <c r="B148" s="13"/>
      <c r="C148" s="2"/>
      <c r="D148" s="13"/>
      <c r="E148" s="13"/>
      <c r="F148" s="13"/>
      <c r="G148" s="13"/>
      <c r="H148" s="13"/>
      <c r="I148" s="13"/>
      <c r="J148" s="113" t="s">
        <v>34</v>
      </c>
      <c r="K148" s="113"/>
      <c r="L148" s="113"/>
      <c r="M148" s="173" t="s">
        <v>1</v>
      </c>
      <c r="N148" s="197" t="s">
        <v>95</v>
      </c>
      <c r="O148" s="198"/>
      <c r="P148" s="198"/>
      <c r="Q148" s="208" t="s">
        <v>8</v>
      </c>
      <c r="R148" s="198"/>
      <c r="S148" s="198" t="s">
        <v>96</v>
      </c>
      <c r="T148" s="198"/>
      <c r="U148" s="198"/>
      <c r="V148" s="13"/>
      <c r="W148" s="13"/>
      <c r="X148" s="13"/>
      <c r="Y148" s="13"/>
      <c r="Z148" s="13"/>
      <c r="AA148" s="13"/>
      <c r="AB148" s="13"/>
      <c r="AC148" s="13"/>
      <c r="AD148" s="13"/>
      <c r="AE148" s="14"/>
      <c r="AF148" s="14"/>
    </row>
    <row r="149" spans="2:32" ht="13.5" hidden="1" customHeight="1">
      <c r="B149" s="13"/>
      <c r="C149" s="2"/>
      <c r="D149" s="13"/>
      <c r="E149" s="13"/>
      <c r="F149" s="13"/>
      <c r="G149" s="13"/>
      <c r="H149" s="13"/>
      <c r="I149" s="13"/>
      <c r="J149" s="113"/>
      <c r="K149" s="113"/>
      <c r="L149" s="113"/>
      <c r="M149" s="113"/>
      <c r="N149" s="199"/>
      <c r="O149" s="113"/>
      <c r="P149" s="113"/>
      <c r="Q149" s="113"/>
      <c r="R149" s="113"/>
      <c r="S149" s="113"/>
      <c r="T149" s="113"/>
      <c r="U149" s="113"/>
      <c r="V149" s="13"/>
      <c r="W149" s="13"/>
      <c r="X149" s="13"/>
      <c r="Y149" s="13"/>
      <c r="Z149" s="13"/>
      <c r="AA149" s="13"/>
      <c r="AB149" s="13"/>
      <c r="AC149" s="13"/>
      <c r="AD149" s="13"/>
      <c r="AE149" s="14"/>
      <c r="AF149" s="14"/>
    </row>
    <row r="150" spans="2:32" ht="13.5" hidden="1" customHeight="1">
      <c r="B150" s="13"/>
      <c r="C150" s="2"/>
      <c r="D150" s="13"/>
      <c r="E150" s="13"/>
      <c r="F150" s="13"/>
      <c r="G150" s="13"/>
      <c r="H150" s="13"/>
      <c r="I150" s="13"/>
      <c r="J150" s="29"/>
      <c r="K150" s="29"/>
      <c r="L150" s="6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4"/>
      <c r="AF150" s="14"/>
    </row>
    <row r="151" spans="2:32" ht="13.5" hidden="1" customHeight="1">
      <c r="B151" s="13"/>
      <c r="C151" s="2"/>
      <c r="D151" s="13"/>
      <c r="E151" s="13"/>
      <c r="F151" s="13"/>
      <c r="G151" s="13"/>
      <c r="H151" s="13"/>
      <c r="I151" s="13"/>
      <c r="J151" s="113" t="s">
        <v>34</v>
      </c>
      <c r="K151" s="113"/>
      <c r="L151" s="113"/>
      <c r="M151" s="173" t="s">
        <v>1</v>
      </c>
      <c r="N151" s="206" t="e">
        <f>N132*N132</f>
        <v>#REF!</v>
      </c>
      <c r="O151" s="195"/>
      <c r="P151" s="195"/>
      <c r="Q151" s="208" t="s">
        <v>8</v>
      </c>
      <c r="R151" s="198"/>
      <c r="S151" s="195" t="e">
        <f>N142*N142</f>
        <v>#REF!</v>
      </c>
      <c r="T151" s="195"/>
      <c r="U151" s="195"/>
      <c r="V151" s="13"/>
      <c r="W151" s="13"/>
      <c r="X151" s="13"/>
      <c r="Y151" s="13"/>
      <c r="Z151" s="13"/>
      <c r="AA151" s="13"/>
      <c r="AB151" s="13"/>
      <c r="AC151" s="13"/>
      <c r="AD151" s="13"/>
      <c r="AE151" s="14"/>
      <c r="AF151" s="14"/>
    </row>
    <row r="152" spans="2:32" ht="13.5" hidden="1" customHeight="1">
      <c r="B152" s="13"/>
      <c r="C152" s="2"/>
      <c r="D152" s="13"/>
      <c r="E152" s="13"/>
      <c r="F152" s="13"/>
      <c r="G152" s="13"/>
      <c r="H152" s="13"/>
      <c r="I152" s="13"/>
      <c r="J152" s="113"/>
      <c r="K152" s="113"/>
      <c r="L152" s="113"/>
      <c r="M152" s="113"/>
      <c r="N152" s="207"/>
      <c r="O152" s="176"/>
      <c r="P152" s="176"/>
      <c r="Q152" s="113"/>
      <c r="R152" s="113"/>
      <c r="S152" s="176"/>
      <c r="T152" s="176"/>
      <c r="U152" s="176"/>
      <c r="V152" s="13"/>
      <c r="W152" s="13"/>
      <c r="X152" s="13"/>
      <c r="Y152" s="13"/>
      <c r="Z152" s="13"/>
      <c r="AA152" s="13"/>
      <c r="AB152" s="13"/>
      <c r="AC152" s="13"/>
      <c r="AD152" s="13"/>
      <c r="AE152" s="14"/>
      <c r="AF152" s="14"/>
    </row>
    <row r="153" spans="2:32" ht="13.5" hidden="1" customHeight="1">
      <c r="B153" s="13"/>
      <c r="C153" s="2"/>
      <c r="D153" s="13"/>
      <c r="E153" s="13"/>
      <c r="F153" s="13"/>
      <c r="G153" s="13"/>
      <c r="H153" s="13"/>
      <c r="I153" s="13"/>
      <c r="J153" s="29"/>
      <c r="K153" s="29"/>
      <c r="L153" s="6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4"/>
      <c r="AF153" s="14"/>
    </row>
    <row r="154" spans="2:32" ht="13.5" hidden="1" customHeight="1">
      <c r="B154" s="13"/>
      <c r="C154" s="2"/>
      <c r="D154" s="13"/>
      <c r="E154" s="13"/>
      <c r="F154" s="13"/>
      <c r="G154" s="13"/>
      <c r="H154" s="13"/>
      <c r="I154" s="13"/>
      <c r="J154" s="113" t="s">
        <v>34</v>
      </c>
      <c r="K154" s="113"/>
      <c r="L154" s="113"/>
      <c r="M154" s="173" t="s">
        <v>1</v>
      </c>
      <c r="N154" s="176" t="e">
        <f>SQRT(N151+S151)</f>
        <v>#REF!</v>
      </c>
      <c r="O154" s="176"/>
      <c r="P154" s="176"/>
      <c r="Q154" s="176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4"/>
      <c r="AF154" s="14"/>
    </row>
    <row r="155" spans="2:32" ht="13.5" hidden="1" customHeight="1">
      <c r="B155" s="13"/>
      <c r="C155" s="2"/>
      <c r="D155" s="13"/>
      <c r="E155" s="13"/>
      <c r="F155" s="13"/>
      <c r="G155" s="13"/>
      <c r="H155" s="13"/>
      <c r="I155" s="13"/>
      <c r="J155" s="113"/>
      <c r="K155" s="113"/>
      <c r="L155" s="113"/>
      <c r="M155" s="113"/>
      <c r="N155" s="176"/>
      <c r="O155" s="176"/>
      <c r="P155" s="176"/>
      <c r="Q155" s="176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4"/>
      <c r="AF155" s="14"/>
    </row>
    <row r="156" spans="2:32" ht="13.5" hidden="1" customHeight="1">
      <c r="B156" s="13"/>
      <c r="C156" s="2"/>
      <c r="D156" s="13"/>
      <c r="E156" s="13"/>
      <c r="F156" s="13"/>
      <c r="G156" s="13"/>
      <c r="H156" s="13"/>
      <c r="I156" s="13"/>
      <c r="J156" s="29"/>
      <c r="K156" s="29"/>
      <c r="L156" s="6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4"/>
      <c r="AF156" s="14"/>
    </row>
    <row r="157" spans="2:32" s="11" customFormat="1" ht="13.5" hidden="1" customHeight="1">
      <c r="B157" s="9"/>
      <c r="C157" s="3"/>
      <c r="D157" s="9"/>
      <c r="E157" s="9"/>
      <c r="F157" s="9" t="s">
        <v>22</v>
      </c>
      <c r="G157" s="9" t="s">
        <v>139</v>
      </c>
      <c r="H157" s="9"/>
      <c r="I157" s="9"/>
      <c r="J157" s="28"/>
      <c r="K157" s="28"/>
      <c r="L157" s="7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10"/>
    </row>
    <row r="158" spans="2:32" ht="13.5" hidden="1" customHeight="1">
      <c r="B158" s="13"/>
      <c r="C158" s="2"/>
      <c r="D158" s="13"/>
      <c r="E158" s="13"/>
      <c r="F158" s="13"/>
      <c r="G158" s="13"/>
      <c r="H158" s="13"/>
      <c r="I158" s="13"/>
      <c r="J158" s="29"/>
      <c r="K158" s="29"/>
      <c r="L158" s="6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4"/>
      <c r="AF158" s="14"/>
    </row>
    <row r="159" spans="2:32" ht="13.5" hidden="1" customHeight="1">
      <c r="B159" s="13"/>
      <c r="C159" s="2"/>
      <c r="D159" s="13"/>
      <c r="E159" s="13"/>
      <c r="F159" s="13"/>
      <c r="G159" s="13"/>
      <c r="H159" s="13"/>
      <c r="I159" s="13"/>
      <c r="J159" s="29"/>
      <c r="K159" s="205" t="s">
        <v>97</v>
      </c>
      <c r="L159" s="205"/>
      <c r="M159" s="173" t="s">
        <v>1</v>
      </c>
      <c r="N159" s="146" t="s">
        <v>80</v>
      </c>
      <c r="O159" s="146"/>
      <c r="P159" s="146"/>
      <c r="Q159" s="146"/>
      <c r="R159" s="146" t="s">
        <v>73</v>
      </c>
      <c r="S159" s="146"/>
      <c r="T159" s="146" t="s">
        <v>81</v>
      </c>
      <c r="U159" s="146"/>
      <c r="V159" s="146"/>
      <c r="W159" s="13"/>
      <c r="X159" s="13"/>
      <c r="Y159" s="13"/>
      <c r="Z159" s="13"/>
      <c r="AA159" s="13"/>
      <c r="AB159" s="13"/>
      <c r="AC159" s="13"/>
      <c r="AD159" s="13"/>
      <c r="AE159" s="14"/>
      <c r="AF159" s="14"/>
    </row>
    <row r="160" spans="2:32" ht="13.5" hidden="1" customHeight="1">
      <c r="B160" s="13"/>
      <c r="C160" s="2"/>
      <c r="D160" s="13"/>
      <c r="E160" s="13"/>
      <c r="F160" s="13"/>
      <c r="G160" s="13"/>
      <c r="H160" s="13"/>
      <c r="I160" s="13"/>
      <c r="J160" s="29"/>
      <c r="K160" s="205"/>
      <c r="L160" s="205"/>
      <c r="M160" s="113"/>
      <c r="N160" s="126" t="s">
        <v>98</v>
      </c>
      <c r="O160" s="126"/>
      <c r="P160" s="126"/>
      <c r="Q160" s="126"/>
      <c r="R160" s="126" t="s">
        <v>73</v>
      </c>
      <c r="S160" s="126"/>
      <c r="T160" s="126">
        <v>1000</v>
      </c>
      <c r="U160" s="126"/>
      <c r="V160" s="126"/>
      <c r="W160" s="13"/>
      <c r="X160" s="13"/>
      <c r="Y160" s="13"/>
      <c r="Z160" s="13"/>
      <c r="AA160" s="13"/>
      <c r="AB160" s="13"/>
      <c r="AC160" s="13"/>
      <c r="AD160" s="13"/>
      <c r="AE160" s="14"/>
      <c r="AF160" s="14"/>
    </row>
    <row r="161" spans="2:32" ht="13.5" hidden="1" customHeight="1">
      <c r="B161" s="13"/>
      <c r="C161" s="2"/>
      <c r="D161" s="13"/>
      <c r="E161" s="13"/>
      <c r="F161" s="13"/>
      <c r="G161" s="13"/>
      <c r="H161" s="13"/>
      <c r="I161" s="13"/>
      <c r="J161" s="29"/>
      <c r="K161" s="29"/>
      <c r="L161" s="6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4"/>
      <c r="AF161" s="14"/>
    </row>
    <row r="162" spans="2:32" ht="13.5" hidden="1" customHeight="1">
      <c r="B162" s="13"/>
      <c r="C162" s="2"/>
      <c r="D162" s="13"/>
      <c r="E162" s="13"/>
      <c r="F162" s="13"/>
      <c r="G162" s="13"/>
      <c r="H162" s="13"/>
      <c r="I162" s="13"/>
      <c r="J162" s="29"/>
      <c r="K162" s="205" t="s">
        <v>97</v>
      </c>
      <c r="L162" s="205"/>
      <c r="M162" s="173" t="s">
        <v>1</v>
      </c>
      <c r="N162" s="174" t="e">
        <f>N132</f>
        <v>#REF!</v>
      </c>
      <c r="O162" s="174"/>
      <c r="P162" s="174"/>
      <c r="Q162" s="146" t="s">
        <v>73</v>
      </c>
      <c r="R162" s="146"/>
      <c r="S162" s="174" t="e">
        <f>#REF!</f>
        <v>#REF!</v>
      </c>
      <c r="T162" s="174"/>
      <c r="U162" s="174"/>
      <c r="V162" s="13"/>
      <c r="W162" s="13"/>
      <c r="X162" s="13"/>
      <c r="Y162" s="13"/>
      <c r="Z162" s="13"/>
      <c r="AA162" s="13"/>
      <c r="AB162" s="13"/>
      <c r="AC162" s="13"/>
      <c r="AD162" s="13"/>
      <c r="AE162" s="14"/>
      <c r="AF162" s="14"/>
    </row>
    <row r="163" spans="2:32" ht="13.5" hidden="1" customHeight="1">
      <c r="B163" s="13"/>
      <c r="C163" s="2"/>
      <c r="D163" s="13"/>
      <c r="E163" s="13"/>
      <c r="F163" s="13"/>
      <c r="G163" s="13"/>
      <c r="H163" s="13"/>
      <c r="I163" s="13"/>
      <c r="J163" s="29"/>
      <c r="K163" s="205"/>
      <c r="L163" s="205"/>
      <c r="M163" s="113"/>
      <c r="N163" s="196" t="e">
        <f>(#REF!/1000)*(#REF!/1000)</f>
        <v>#REF!</v>
      </c>
      <c r="O163" s="196"/>
      <c r="P163" s="196"/>
      <c r="Q163" s="126" t="s">
        <v>73</v>
      </c>
      <c r="R163" s="126"/>
      <c r="S163" s="196">
        <v>1000</v>
      </c>
      <c r="T163" s="196"/>
      <c r="U163" s="196"/>
      <c r="V163" s="13"/>
      <c r="W163" s="13"/>
      <c r="X163" s="13"/>
      <c r="Y163" s="13"/>
      <c r="Z163" s="13"/>
      <c r="AA163" s="13"/>
      <c r="AB163" s="13"/>
      <c r="AC163" s="13"/>
      <c r="AD163" s="13"/>
      <c r="AE163" s="14"/>
      <c r="AF163" s="14"/>
    </row>
    <row r="164" spans="2:32" ht="13.5" hidden="1" customHeight="1">
      <c r="B164" s="13"/>
      <c r="C164" s="2"/>
      <c r="D164" s="13"/>
      <c r="E164" s="13"/>
      <c r="F164" s="13"/>
      <c r="G164" s="13"/>
      <c r="H164" s="13"/>
      <c r="I164" s="13"/>
      <c r="J164" s="29"/>
      <c r="K164" s="29"/>
      <c r="L164" s="6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4"/>
      <c r="AF164" s="14"/>
    </row>
    <row r="165" spans="2:32" ht="13.5" hidden="1" customHeight="1">
      <c r="B165" s="13"/>
      <c r="C165" s="2"/>
      <c r="D165" s="13"/>
      <c r="E165" s="13"/>
      <c r="F165" s="13"/>
      <c r="G165" s="13"/>
      <c r="H165" s="13"/>
      <c r="I165" s="13"/>
      <c r="J165" s="29"/>
      <c r="K165" s="205" t="s">
        <v>97</v>
      </c>
      <c r="L165" s="205"/>
      <c r="M165" s="173" t="s">
        <v>1</v>
      </c>
      <c r="N165" s="176" t="e">
        <f>(N162*S162)/(N163*S163)</f>
        <v>#REF!</v>
      </c>
      <c r="O165" s="176"/>
      <c r="P165" s="176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4"/>
      <c r="AF165" s="14"/>
    </row>
    <row r="166" spans="2:32" ht="13.5" hidden="1" customHeight="1">
      <c r="B166" s="13"/>
      <c r="C166" s="2"/>
      <c r="D166" s="13"/>
      <c r="E166" s="13"/>
      <c r="F166" s="13"/>
      <c r="G166" s="13"/>
      <c r="H166" s="13"/>
      <c r="I166" s="13"/>
      <c r="J166" s="29"/>
      <c r="K166" s="205"/>
      <c r="L166" s="205"/>
      <c r="M166" s="113"/>
      <c r="N166" s="176"/>
      <c r="O166" s="176"/>
      <c r="P166" s="176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4"/>
      <c r="AF166" s="14"/>
    </row>
    <row r="167" spans="2:32" ht="13.5" hidden="1" customHeight="1">
      <c r="B167" s="13"/>
      <c r="C167" s="2"/>
      <c r="D167" s="13"/>
      <c r="E167" s="13"/>
      <c r="F167" s="13"/>
      <c r="G167" s="13"/>
      <c r="H167" s="13"/>
      <c r="I167" s="13"/>
      <c r="J167" s="29"/>
      <c r="K167" s="29"/>
      <c r="L167" s="6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4"/>
      <c r="AF167" s="14"/>
    </row>
    <row r="168" spans="2:32" s="11" customFormat="1" ht="13.5" hidden="1" customHeight="1">
      <c r="B168" s="9"/>
      <c r="C168" s="3"/>
      <c r="D168" s="9"/>
      <c r="E168" s="9"/>
      <c r="F168" s="9" t="s">
        <v>23</v>
      </c>
      <c r="G168" s="9" t="s">
        <v>140</v>
      </c>
      <c r="H168" s="9"/>
      <c r="I168" s="9"/>
      <c r="J168" s="28"/>
      <c r="K168" s="28"/>
      <c r="L168" s="7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10"/>
    </row>
    <row r="169" spans="2:32" ht="13.5" hidden="1" customHeight="1">
      <c r="B169" s="13"/>
      <c r="C169" s="2"/>
      <c r="D169" s="13"/>
      <c r="E169" s="13"/>
      <c r="F169" s="13"/>
      <c r="G169" s="13"/>
      <c r="H169" s="13"/>
      <c r="I169" s="13"/>
      <c r="J169" s="29"/>
      <c r="K169" s="29"/>
      <c r="L169" s="6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4"/>
      <c r="AF169" s="14"/>
    </row>
    <row r="170" spans="2:32" ht="13.5" hidden="1" customHeight="1">
      <c r="B170" s="13"/>
      <c r="C170" s="2"/>
      <c r="D170" s="13"/>
      <c r="E170" s="13"/>
      <c r="F170" s="13"/>
      <c r="G170" s="13"/>
      <c r="H170" s="13"/>
      <c r="I170" s="13"/>
      <c r="J170" s="29"/>
      <c r="K170" s="205" t="s">
        <v>99</v>
      </c>
      <c r="L170" s="205"/>
      <c r="M170" s="173" t="s">
        <v>1</v>
      </c>
      <c r="N170" s="146" t="s">
        <v>82</v>
      </c>
      <c r="O170" s="146"/>
      <c r="P170" s="146"/>
      <c r="Q170" s="146"/>
      <c r="R170" s="146" t="s">
        <v>73</v>
      </c>
      <c r="S170" s="146"/>
      <c r="T170" s="146" t="s">
        <v>81</v>
      </c>
      <c r="U170" s="146"/>
      <c r="V170" s="146"/>
      <c r="W170" s="13"/>
      <c r="X170" s="13"/>
      <c r="Y170" s="13"/>
      <c r="Z170" s="13"/>
      <c r="AA170" s="13"/>
      <c r="AB170" s="13"/>
      <c r="AC170" s="13"/>
      <c r="AD170" s="13"/>
      <c r="AE170" s="14"/>
      <c r="AF170" s="14"/>
    </row>
    <row r="171" spans="2:32" ht="13.5" hidden="1" customHeight="1">
      <c r="B171" s="13"/>
      <c r="C171" s="2"/>
      <c r="D171" s="13"/>
      <c r="E171" s="13"/>
      <c r="F171" s="13"/>
      <c r="G171" s="13"/>
      <c r="H171" s="13"/>
      <c r="I171" s="13"/>
      <c r="J171" s="29"/>
      <c r="K171" s="205"/>
      <c r="L171" s="205"/>
      <c r="M171" s="113"/>
      <c r="N171" s="126" t="s">
        <v>98</v>
      </c>
      <c r="O171" s="126"/>
      <c r="P171" s="126"/>
      <c r="Q171" s="126"/>
      <c r="R171" s="126" t="s">
        <v>73</v>
      </c>
      <c r="S171" s="126"/>
      <c r="T171" s="126">
        <v>1000</v>
      </c>
      <c r="U171" s="126"/>
      <c r="V171" s="126"/>
      <c r="W171" s="13"/>
      <c r="X171" s="13"/>
      <c r="Y171" s="13"/>
      <c r="Z171" s="13"/>
      <c r="AA171" s="13"/>
      <c r="AB171" s="13"/>
      <c r="AC171" s="13"/>
      <c r="AD171" s="13"/>
      <c r="AE171" s="14"/>
      <c r="AF171" s="14"/>
    </row>
    <row r="172" spans="2:32" ht="13.5" hidden="1" customHeight="1">
      <c r="B172" s="13"/>
      <c r="C172" s="2"/>
      <c r="D172" s="13"/>
      <c r="E172" s="13"/>
      <c r="F172" s="13"/>
      <c r="G172" s="13"/>
      <c r="H172" s="13"/>
      <c r="I172" s="13"/>
      <c r="J172" s="29"/>
      <c r="K172" s="29"/>
      <c r="L172" s="6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4"/>
      <c r="AF172" s="14"/>
    </row>
    <row r="173" spans="2:32" ht="13.5" hidden="1" customHeight="1">
      <c r="B173" s="13"/>
      <c r="C173" s="2"/>
      <c r="D173" s="13"/>
      <c r="E173" s="13"/>
      <c r="F173" s="13"/>
      <c r="G173" s="13"/>
      <c r="H173" s="13"/>
      <c r="I173" s="13"/>
      <c r="J173" s="29"/>
      <c r="K173" s="205" t="s">
        <v>99</v>
      </c>
      <c r="L173" s="205"/>
      <c r="M173" s="173" t="s">
        <v>1</v>
      </c>
      <c r="N173" s="174" t="e">
        <f>N142</f>
        <v>#REF!</v>
      </c>
      <c r="O173" s="174"/>
      <c r="P173" s="174"/>
      <c r="Q173" s="146" t="s">
        <v>73</v>
      </c>
      <c r="R173" s="146"/>
      <c r="S173" s="174" t="e">
        <f>#REF!</f>
        <v>#REF!</v>
      </c>
      <c r="T173" s="174"/>
      <c r="U173" s="174"/>
      <c r="V173" s="13"/>
      <c r="W173" s="13"/>
      <c r="X173" s="13"/>
      <c r="Y173" s="13"/>
      <c r="Z173" s="13"/>
      <c r="AA173" s="13"/>
      <c r="AB173" s="13"/>
      <c r="AC173" s="13"/>
      <c r="AD173" s="13"/>
      <c r="AE173" s="14"/>
      <c r="AF173" s="14"/>
    </row>
    <row r="174" spans="2:32" ht="13.5" hidden="1" customHeight="1">
      <c r="B174" s="13"/>
      <c r="C174" s="2"/>
      <c r="D174" s="13"/>
      <c r="E174" s="13"/>
      <c r="F174" s="13"/>
      <c r="G174" s="13"/>
      <c r="H174" s="13"/>
      <c r="I174" s="13"/>
      <c r="J174" s="29"/>
      <c r="K174" s="205"/>
      <c r="L174" s="205"/>
      <c r="M174" s="113"/>
      <c r="N174" s="196" t="e">
        <f>(#REF!/1000)*(#REF!/1000)</f>
        <v>#REF!</v>
      </c>
      <c r="O174" s="196"/>
      <c r="P174" s="196"/>
      <c r="Q174" s="126" t="s">
        <v>73</v>
      </c>
      <c r="R174" s="126"/>
      <c r="S174" s="196">
        <v>1000</v>
      </c>
      <c r="T174" s="196"/>
      <c r="U174" s="196"/>
      <c r="V174" s="13"/>
      <c r="W174" s="13"/>
      <c r="X174" s="13"/>
      <c r="Y174" s="13"/>
      <c r="Z174" s="13"/>
      <c r="AA174" s="13"/>
      <c r="AB174" s="13"/>
      <c r="AC174" s="13"/>
      <c r="AD174" s="13"/>
      <c r="AE174" s="14"/>
      <c r="AF174" s="14"/>
    </row>
    <row r="175" spans="2:32" ht="13.5" hidden="1" customHeight="1">
      <c r="B175" s="13"/>
      <c r="C175" s="2"/>
      <c r="D175" s="13"/>
      <c r="E175" s="13"/>
      <c r="F175" s="13"/>
      <c r="G175" s="13"/>
      <c r="H175" s="13"/>
      <c r="I175" s="13"/>
      <c r="J175" s="29"/>
      <c r="K175" s="29"/>
      <c r="L175" s="6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4"/>
      <c r="AF175" s="14"/>
    </row>
    <row r="176" spans="2:32" ht="13.5" hidden="1" customHeight="1">
      <c r="B176" s="13"/>
      <c r="C176" s="2"/>
      <c r="D176" s="13"/>
      <c r="E176" s="13"/>
      <c r="F176" s="13"/>
      <c r="G176" s="13"/>
      <c r="H176" s="13"/>
      <c r="I176" s="13"/>
      <c r="J176" s="29"/>
      <c r="K176" s="205" t="s">
        <v>99</v>
      </c>
      <c r="L176" s="205"/>
      <c r="M176" s="173" t="s">
        <v>1</v>
      </c>
      <c r="N176" s="176" t="e">
        <f>(N173*S173)/(N174*S174)</f>
        <v>#REF!</v>
      </c>
      <c r="O176" s="176"/>
      <c r="P176" s="176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4"/>
      <c r="AF176" s="14"/>
    </row>
    <row r="177" spans="2:32" ht="13.5" hidden="1" customHeight="1">
      <c r="B177" s="13"/>
      <c r="C177" s="2"/>
      <c r="D177" s="13"/>
      <c r="E177" s="13"/>
      <c r="F177" s="13"/>
      <c r="G177" s="13"/>
      <c r="H177" s="13"/>
      <c r="I177" s="13"/>
      <c r="J177" s="29"/>
      <c r="K177" s="205"/>
      <c r="L177" s="205"/>
      <c r="M177" s="113"/>
      <c r="N177" s="176"/>
      <c r="O177" s="176"/>
      <c r="P177" s="176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4"/>
      <c r="AF177" s="14"/>
    </row>
    <row r="178" spans="2:32" ht="13.5" hidden="1" customHeight="1">
      <c r="B178" s="13"/>
      <c r="C178" s="2"/>
      <c r="D178" s="13"/>
      <c r="E178" s="13"/>
      <c r="F178" s="13"/>
      <c r="G178" s="13"/>
      <c r="H178" s="13"/>
      <c r="I178" s="13"/>
      <c r="J178" s="29"/>
      <c r="K178" s="29"/>
      <c r="L178" s="29"/>
      <c r="M178" s="13"/>
      <c r="N178" s="17"/>
      <c r="O178" s="17"/>
      <c r="P178" s="17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4"/>
      <c r="AF178" s="14"/>
    </row>
    <row r="179" spans="2:32" ht="13.5" hidden="1" customHeight="1">
      <c r="B179" s="13"/>
      <c r="C179" s="2"/>
      <c r="D179" s="13"/>
      <c r="E179" s="13"/>
      <c r="F179" s="13"/>
      <c r="G179" s="13"/>
      <c r="H179" s="13"/>
      <c r="I179" s="13"/>
      <c r="J179" s="29"/>
      <c r="K179" s="29"/>
      <c r="L179" s="6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4"/>
      <c r="AF179" s="14"/>
    </row>
    <row r="180" spans="2:32" ht="13.5" hidden="1" customHeight="1">
      <c r="B180" s="13"/>
      <c r="C180" s="2"/>
      <c r="D180" s="13"/>
      <c r="E180" s="13"/>
      <c r="F180" s="13"/>
      <c r="G180" s="13" t="s">
        <v>36</v>
      </c>
      <c r="H180" s="13"/>
      <c r="I180" s="13"/>
      <c r="J180" s="29"/>
      <c r="K180" s="29"/>
      <c r="L180" s="6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4"/>
      <c r="AF180" s="14"/>
    </row>
    <row r="181" spans="2:32" ht="13.5" hidden="1" customHeight="1">
      <c r="B181" s="13"/>
      <c r="C181" s="2"/>
      <c r="D181" s="13"/>
      <c r="E181" s="13"/>
      <c r="F181" s="13"/>
      <c r="G181" s="13"/>
      <c r="H181" s="13"/>
      <c r="I181" s="13"/>
      <c r="J181" s="29"/>
      <c r="K181" s="29"/>
      <c r="L181" s="6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4"/>
      <c r="AF181" s="14"/>
    </row>
    <row r="182" spans="2:32" s="11" customFormat="1" ht="13.5" hidden="1" customHeight="1">
      <c r="B182" s="9"/>
      <c r="C182" s="3"/>
      <c r="D182" s="9"/>
      <c r="E182" s="9"/>
      <c r="F182" s="9" t="s">
        <v>24</v>
      </c>
      <c r="G182" s="9" t="s">
        <v>79</v>
      </c>
      <c r="H182" s="9"/>
      <c r="I182" s="9"/>
      <c r="J182" s="28"/>
      <c r="K182" s="28"/>
      <c r="L182" s="7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10"/>
    </row>
    <row r="183" spans="2:32" ht="13.5" hidden="1" customHeight="1">
      <c r="B183" s="13"/>
      <c r="C183" s="2"/>
      <c r="D183" s="13"/>
      <c r="E183" s="13"/>
      <c r="F183" s="13"/>
      <c r="G183" s="13"/>
      <c r="H183" s="13"/>
      <c r="I183" s="13"/>
      <c r="J183" s="29"/>
      <c r="K183" s="29"/>
      <c r="L183" s="6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4"/>
      <c r="AF183" s="14"/>
    </row>
    <row r="184" spans="2:32" ht="13.5" hidden="1" customHeight="1">
      <c r="B184" s="13"/>
      <c r="C184" s="2"/>
      <c r="D184" s="13"/>
      <c r="E184" s="13"/>
      <c r="F184" s="13"/>
      <c r="G184" s="13"/>
      <c r="H184" s="13"/>
      <c r="I184" s="113" t="s">
        <v>37</v>
      </c>
      <c r="J184" s="113"/>
      <c r="K184" s="113"/>
      <c r="L184" s="113"/>
      <c r="M184" s="173" t="s">
        <v>1</v>
      </c>
      <c r="N184" s="197" t="s">
        <v>95</v>
      </c>
      <c r="O184" s="198"/>
      <c r="P184" s="198"/>
      <c r="Q184" s="208" t="s">
        <v>8</v>
      </c>
      <c r="R184" s="198"/>
      <c r="S184" s="198" t="s">
        <v>96</v>
      </c>
      <c r="T184" s="198"/>
      <c r="U184" s="198"/>
      <c r="V184" s="13"/>
      <c r="W184" s="13"/>
      <c r="X184" s="13"/>
      <c r="Y184" s="13"/>
      <c r="Z184" s="13"/>
      <c r="AA184" s="13"/>
      <c r="AB184" s="13"/>
      <c r="AC184" s="13"/>
      <c r="AD184" s="13"/>
      <c r="AE184" s="14"/>
      <c r="AF184" s="14"/>
    </row>
    <row r="185" spans="2:32" ht="13.5" hidden="1" customHeight="1">
      <c r="B185" s="13"/>
      <c r="C185" s="2"/>
      <c r="D185" s="13"/>
      <c r="E185" s="13"/>
      <c r="F185" s="13"/>
      <c r="G185" s="13"/>
      <c r="H185" s="13"/>
      <c r="I185" s="113"/>
      <c r="J185" s="113"/>
      <c r="K185" s="113"/>
      <c r="L185" s="113"/>
      <c r="M185" s="113"/>
      <c r="N185" s="199"/>
      <c r="O185" s="113"/>
      <c r="P185" s="113"/>
      <c r="Q185" s="113"/>
      <c r="R185" s="113"/>
      <c r="S185" s="113"/>
      <c r="T185" s="113"/>
      <c r="U185" s="113"/>
      <c r="V185" s="13"/>
      <c r="W185" s="13"/>
      <c r="X185" s="13"/>
      <c r="Y185" s="13"/>
      <c r="Z185" s="13"/>
      <c r="AA185" s="13"/>
      <c r="AB185" s="13"/>
      <c r="AC185" s="13"/>
      <c r="AD185" s="13"/>
      <c r="AE185" s="14"/>
      <c r="AF185" s="14"/>
    </row>
    <row r="186" spans="2:32" ht="13.5" hidden="1" customHeight="1">
      <c r="B186" s="13"/>
      <c r="C186" s="2"/>
      <c r="D186" s="13"/>
      <c r="E186" s="13"/>
      <c r="F186" s="13"/>
      <c r="G186" s="13"/>
      <c r="H186" s="13"/>
      <c r="I186" s="13"/>
      <c r="J186" s="29"/>
      <c r="K186" s="29"/>
      <c r="L186" s="6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4"/>
      <c r="AF186" s="14"/>
    </row>
    <row r="187" spans="2:32" ht="13.5" hidden="1" customHeight="1">
      <c r="B187" s="13"/>
      <c r="C187" s="2"/>
      <c r="D187" s="13"/>
      <c r="E187" s="13"/>
      <c r="F187" s="13"/>
      <c r="G187" s="13"/>
      <c r="H187" s="13"/>
      <c r="I187" s="113" t="s">
        <v>37</v>
      </c>
      <c r="J187" s="113"/>
      <c r="K187" s="113"/>
      <c r="L187" s="113"/>
      <c r="M187" s="173" t="s">
        <v>1</v>
      </c>
      <c r="N187" s="206" t="e">
        <f>N165*N165</f>
        <v>#REF!</v>
      </c>
      <c r="O187" s="195"/>
      <c r="P187" s="195"/>
      <c r="Q187" s="208" t="s">
        <v>8</v>
      </c>
      <c r="R187" s="198"/>
      <c r="S187" s="195" t="e">
        <f>N176*N176</f>
        <v>#REF!</v>
      </c>
      <c r="T187" s="195"/>
      <c r="U187" s="195"/>
      <c r="V187" s="13"/>
      <c r="W187" s="13"/>
      <c r="X187" s="13"/>
      <c r="Y187" s="13"/>
      <c r="Z187" s="13"/>
      <c r="AA187" s="13"/>
      <c r="AB187" s="13"/>
      <c r="AC187" s="13"/>
      <c r="AD187" s="13"/>
      <c r="AE187" s="14"/>
      <c r="AF187" s="14"/>
    </row>
    <row r="188" spans="2:32" ht="13.5" hidden="1" customHeight="1">
      <c r="B188" s="13"/>
      <c r="C188" s="2"/>
      <c r="D188" s="13"/>
      <c r="E188" s="13"/>
      <c r="F188" s="13"/>
      <c r="G188" s="13"/>
      <c r="H188" s="13"/>
      <c r="I188" s="113"/>
      <c r="J188" s="113"/>
      <c r="K188" s="113"/>
      <c r="L188" s="113"/>
      <c r="M188" s="113"/>
      <c r="N188" s="207"/>
      <c r="O188" s="176"/>
      <c r="P188" s="176"/>
      <c r="Q188" s="113"/>
      <c r="R188" s="113"/>
      <c r="S188" s="176"/>
      <c r="T188" s="176"/>
      <c r="U188" s="176"/>
      <c r="V188" s="13"/>
      <c r="W188" s="13"/>
      <c r="X188" s="13"/>
      <c r="Y188" s="13"/>
      <c r="Z188" s="13"/>
      <c r="AA188" s="13"/>
      <c r="AB188" s="13"/>
      <c r="AC188" s="13"/>
      <c r="AD188" s="13"/>
      <c r="AE188" s="14"/>
      <c r="AF188" s="14"/>
    </row>
    <row r="189" spans="2:32" ht="13.5" hidden="1" customHeight="1">
      <c r="B189" s="13"/>
      <c r="C189" s="2"/>
      <c r="D189" s="13"/>
      <c r="E189" s="13"/>
      <c r="F189" s="13"/>
      <c r="G189" s="13"/>
      <c r="H189" s="13"/>
      <c r="I189" s="13"/>
      <c r="J189" s="29"/>
      <c r="K189" s="29"/>
      <c r="L189" s="6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4"/>
      <c r="AF189" s="14"/>
    </row>
    <row r="190" spans="2:32" ht="13.5" hidden="1" customHeight="1">
      <c r="B190" s="13"/>
      <c r="C190" s="2"/>
      <c r="D190" s="13"/>
      <c r="E190" s="13"/>
      <c r="F190" s="13"/>
      <c r="G190" s="13"/>
      <c r="H190" s="13"/>
      <c r="I190" s="113" t="s">
        <v>37</v>
      </c>
      <c r="J190" s="113"/>
      <c r="K190" s="113"/>
      <c r="L190" s="113"/>
      <c r="M190" s="173" t="s">
        <v>1</v>
      </c>
      <c r="N190" s="176" t="e">
        <f>SQRT(N187+S187)</f>
        <v>#REF!</v>
      </c>
      <c r="O190" s="176"/>
      <c r="P190" s="176"/>
      <c r="Q190" s="176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4"/>
      <c r="AF190" s="14"/>
    </row>
    <row r="191" spans="2:32" ht="13.5" hidden="1" customHeight="1">
      <c r="B191" s="13"/>
      <c r="C191" s="2"/>
      <c r="D191" s="13"/>
      <c r="E191" s="13"/>
      <c r="F191" s="13"/>
      <c r="G191" s="13"/>
      <c r="H191" s="13"/>
      <c r="I191" s="113"/>
      <c r="J191" s="113"/>
      <c r="K191" s="113"/>
      <c r="L191" s="113"/>
      <c r="M191" s="113"/>
      <c r="N191" s="176"/>
      <c r="O191" s="176"/>
      <c r="P191" s="176"/>
      <c r="Q191" s="176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4"/>
      <c r="AF191" s="14"/>
    </row>
    <row r="192" spans="2:32" ht="13.5" hidden="1" customHeight="1">
      <c r="B192" s="21"/>
      <c r="C192" s="34"/>
      <c r="D192" s="21"/>
      <c r="E192" s="21"/>
      <c r="F192" s="21"/>
      <c r="G192" s="21"/>
      <c r="H192" s="21"/>
      <c r="I192" s="21"/>
      <c r="J192" s="35"/>
      <c r="K192" s="35"/>
      <c r="L192" s="35"/>
      <c r="M192" s="21"/>
      <c r="N192" s="36"/>
      <c r="O192" s="36"/>
      <c r="P192" s="36"/>
      <c r="Q192" s="36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3"/>
      <c r="AF192" s="14"/>
    </row>
    <row r="193" spans="2:32" ht="13.5" hidden="1" customHeight="1">
      <c r="B193" s="13"/>
      <c r="C193" s="2"/>
      <c r="D193" s="13"/>
      <c r="E193" s="13"/>
      <c r="F193" s="13"/>
      <c r="G193" s="13"/>
      <c r="H193" s="13"/>
      <c r="I193" s="13"/>
      <c r="J193" s="29"/>
      <c r="K193" s="29"/>
      <c r="L193" s="29"/>
      <c r="M193" s="13"/>
      <c r="N193" s="17"/>
      <c r="O193" s="17"/>
      <c r="P193" s="17"/>
      <c r="Q193" s="17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4"/>
      <c r="AF193" s="14"/>
    </row>
    <row r="194" spans="2:32" s="11" customFormat="1" ht="13.5" hidden="1" customHeight="1">
      <c r="B194" s="9"/>
      <c r="C194" s="9" t="s">
        <v>58</v>
      </c>
      <c r="D194" s="9"/>
      <c r="E194" s="9" t="s">
        <v>38</v>
      </c>
      <c r="F194" s="9"/>
      <c r="G194" s="20"/>
      <c r="H194" s="37"/>
      <c r="I194" s="7"/>
      <c r="J194" s="7"/>
      <c r="K194" s="7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10"/>
    </row>
    <row r="195" spans="2:32" ht="13.5" hidden="1" customHeight="1">
      <c r="B195" s="13"/>
      <c r="C195" s="13"/>
      <c r="D195" s="13"/>
      <c r="E195" s="13"/>
      <c r="F195" s="13"/>
      <c r="G195" s="18"/>
      <c r="H195" s="38"/>
      <c r="I195" s="6"/>
      <c r="J195" s="6"/>
      <c r="K195" s="6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4"/>
      <c r="AF195" s="14"/>
    </row>
    <row r="196" spans="2:32" ht="13.5" hidden="1" customHeight="1">
      <c r="B196" s="13"/>
      <c r="C196" s="13"/>
      <c r="D196" s="13"/>
      <c r="E196" s="125" t="s">
        <v>91</v>
      </c>
      <c r="F196" s="125"/>
      <c r="G196" s="30" t="s">
        <v>1</v>
      </c>
      <c r="H196" s="125" t="s">
        <v>92</v>
      </c>
      <c r="I196" s="125"/>
      <c r="J196" s="125"/>
      <c r="K196" s="175" t="s">
        <v>8</v>
      </c>
      <c r="L196" s="125"/>
      <c r="M196" s="125" t="s">
        <v>100</v>
      </c>
      <c r="N196" s="125"/>
      <c r="O196" s="125"/>
      <c r="P196" s="175" t="s">
        <v>8</v>
      </c>
      <c r="Q196" s="175"/>
      <c r="R196" s="125" t="s">
        <v>69</v>
      </c>
      <c r="S196" s="125"/>
      <c r="T196" s="125"/>
      <c r="U196" s="30" t="s">
        <v>8</v>
      </c>
      <c r="V196" s="128" t="s">
        <v>68</v>
      </c>
      <c r="W196" s="128"/>
      <c r="X196" s="128"/>
      <c r="Y196" s="30" t="s">
        <v>8</v>
      </c>
      <c r="Z196" s="128" t="s">
        <v>37</v>
      </c>
      <c r="AA196" s="128"/>
      <c r="AB196" s="128"/>
      <c r="AC196" s="128"/>
      <c r="AD196" s="2"/>
      <c r="AE196" s="14"/>
      <c r="AF196" s="14"/>
    </row>
    <row r="197" spans="2:32" ht="13.5" hidden="1" customHeight="1">
      <c r="B197" s="13"/>
      <c r="C197" s="13"/>
      <c r="D197" s="13"/>
      <c r="E197" s="125" t="s">
        <v>91</v>
      </c>
      <c r="F197" s="125"/>
      <c r="G197" s="30" t="s">
        <v>1</v>
      </c>
      <c r="H197" s="177" t="e">
        <f>#REF!</f>
        <v>#REF!</v>
      </c>
      <c r="I197" s="177"/>
      <c r="J197" s="177"/>
      <c r="K197" s="175" t="s">
        <v>8</v>
      </c>
      <c r="L197" s="125"/>
      <c r="M197" s="177" t="e">
        <f>#REF!</f>
        <v>#REF!</v>
      </c>
      <c r="N197" s="177"/>
      <c r="O197" s="177"/>
      <c r="P197" s="175" t="s">
        <v>8</v>
      </c>
      <c r="Q197" s="175"/>
      <c r="R197" s="177" t="e">
        <f>#REF!</f>
        <v>#REF!</v>
      </c>
      <c r="S197" s="177"/>
      <c r="T197" s="177"/>
      <c r="U197" s="30" t="s">
        <v>8</v>
      </c>
      <c r="V197" s="177">
        <v>2.5702132136872287E-2</v>
      </c>
      <c r="W197" s="177"/>
      <c r="X197" s="177"/>
      <c r="Y197" s="30" t="s">
        <v>8</v>
      </c>
      <c r="Z197" s="213" t="e">
        <f>N190</f>
        <v>#REF!</v>
      </c>
      <c r="AA197" s="213"/>
      <c r="AB197" s="213"/>
      <c r="AC197" s="213"/>
      <c r="AD197" s="39"/>
      <c r="AE197" s="14"/>
      <c r="AF197" s="14"/>
    </row>
    <row r="198" spans="2:32" ht="13.5" hidden="1" customHeight="1">
      <c r="B198" s="13"/>
      <c r="C198" s="13"/>
      <c r="D198" s="13"/>
      <c r="E198" s="125" t="s">
        <v>91</v>
      </c>
      <c r="F198" s="125"/>
      <c r="G198" s="30" t="s">
        <v>1</v>
      </c>
      <c r="H198" s="177" t="e">
        <f>H197+M197+R197+V197+Z197</f>
        <v>#REF!</v>
      </c>
      <c r="I198" s="177"/>
      <c r="J198" s="177"/>
      <c r="K198" s="175"/>
      <c r="L198" s="125"/>
      <c r="M198" s="125"/>
      <c r="N198" s="125"/>
      <c r="O198" s="125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4"/>
      <c r="AF198" s="14"/>
    </row>
    <row r="199" spans="2:32" ht="13.5" hidden="1" customHeight="1">
      <c r="B199" s="13"/>
      <c r="C199" s="2"/>
      <c r="D199" s="13"/>
      <c r="E199" s="13"/>
      <c r="F199" s="13"/>
      <c r="G199" s="13"/>
      <c r="H199" s="13"/>
      <c r="I199" s="13"/>
      <c r="J199" s="29"/>
      <c r="K199" s="29"/>
      <c r="L199" s="29"/>
      <c r="M199" s="13"/>
      <c r="N199" s="17"/>
      <c r="O199" s="17"/>
      <c r="P199" s="17"/>
      <c r="Q199" s="17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4"/>
      <c r="AF199" s="14"/>
    </row>
    <row r="200" spans="2:32" ht="13.5" hidden="1" customHeight="1">
      <c r="B200" s="13"/>
      <c r="C200" s="2"/>
      <c r="D200" s="13"/>
      <c r="E200" s="13"/>
      <c r="F200" s="13"/>
      <c r="G200" s="13"/>
      <c r="H200" s="13"/>
      <c r="I200" s="13"/>
      <c r="J200" s="29"/>
      <c r="K200" s="29"/>
      <c r="L200" s="29"/>
      <c r="M200" s="13"/>
      <c r="N200" s="17"/>
      <c r="O200" s="17"/>
      <c r="P200" s="17"/>
      <c r="Q200" s="17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4"/>
      <c r="AF200" s="14"/>
    </row>
    <row r="201" spans="2:32" s="11" customFormat="1" ht="13.5" hidden="1" customHeight="1">
      <c r="B201" s="9"/>
      <c r="C201" s="3"/>
      <c r="D201" s="9"/>
      <c r="E201" s="9"/>
      <c r="F201" s="9" t="s">
        <v>59</v>
      </c>
      <c r="G201" s="9" t="s">
        <v>83</v>
      </c>
      <c r="H201" s="9"/>
      <c r="I201" s="9"/>
      <c r="J201" s="28"/>
      <c r="K201" s="28"/>
      <c r="L201" s="7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10"/>
    </row>
    <row r="202" spans="2:32" ht="13.5" hidden="1" customHeight="1">
      <c r="B202" s="13"/>
      <c r="C202" s="2"/>
      <c r="D202" s="13"/>
      <c r="E202" s="13"/>
      <c r="F202" s="13"/>
      <c r="G202" s="13"/>
      <c r="H202" s="13"/>
      <c r="I202" s="13"/>
      <c r="J202" s="29"/>
      <c r="K202" s="29"/>
      <c r="L202" s="6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4"/>
      <c r="AF202" s="14"/>
    </row>
    <row r="203" spans="2:32" ht="13.5" hidden="1" customHeight="1">
      <c r="B203" s="13"/>
      <c r="C203" s="2"/>
      <c r="D203" s="13"/>
      <c r="E203" s="13"/>
      <c r="F203" s="13"/>
      <c r="G203" s="13"/>
      <c r="H203" s="13"/>
      <c r="I203" s="13"/>
      <c r="J203" s="205" t="s">
        <v>93</v>
      </c>
      <c r="K203" s="205"/>
      <c r="L203" s="173" t="s">
        <v>1</v>
      </c>
      <c r="M203" s="146" t="s">
        <v>72</v>
      </c>
      <c r="N203" s="146"/>
      <c r="O203" s="146"/>
      <c r="P203" s="146"/>
      <c r="Q203" s="146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4"/>
      <c r="AF203" s="14"/>
    </row>
    <row r="204" spans="2:32" ht="13.5" hidden="1" customHeight="1">
      <c r="B204" s="13"/>
      <c r="C204" s="2"/>
      <c r="D204" s="13"/>
      <c r="E204" s="13"/>
      <c r="F204" s="13"/>
      <c r="G204" s="13"/>
      <c r="H204" s="13"/>
      <c r="I204" s="13"/>
      <c r="J204" s="205"/>
      <c r="K204" s="205"/>
      <c r="L204" s="173"/>
      <c r="M204" s="126" t="s">
        <v>70</v>
      </c>
      <c r="N204" s="126"/>
      <c r="O204" s="126"/>
      <c r="P204" s="126"/>
      <c r="Q204" s="126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4"/>
      <c r="AF204" s="14"/>
    </row>
    <row r="205" spans="2:32" ht="13.5" hidden="1" customHeight="1">
      <c r="B205" s="13"/>
      <c r="C205" s="2"/>
      <c r="D205" s="13"/>
      <c r="E205" s="13"/>
      <c r="F205" s="13"/>
      <c r="G205" s="13"/>
      <c r="H205" s="13"/>
      <c r="I205" s="13"/>
      <c r="J205" s="29"/>
      <c r="K205" s="29"/>
      <c r="L205" s="6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4"/>
      <c r="AF205" s="14"/>
    </row>
    <row r="206" spans="2:32" ht="13.5" hidden="1" customHeight="1">
      <c r="B206" s="13"/>
      <c r="C206" s="2"/>
      <c r="D206" s="13"/>
      <c r="E206" s="13"/>
      <c r="F206" s="13"/>
      <c r="G206" s="13"/>
      <c r="H206" s="13"/>
      <c r="I206" s="13"/>
      <c r="J206" s="205" t="s">
        <v>93</v>
      </c>
      <c r="K206" s="205"/>
      <c r="L206" s="173" t="s">
        <v>1</v>
      </c>
      <c r="M206" s="174" t="e">
        <f>#REF!</f>
        <v>#REF!</v>
      </c>
      <c r="N206" s="174"/>
      <c r="O206" s="174"/>
      <c r="P206" s="174"/>
      <c r="Q206" s="174"/>
      <c r="R206" s="174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4"/>
      <c r="AF206" s="14"/>
    </row>
    <row r="207" spans="2:32" ht="13.5" hidden="1" customHeight="1">
      <c r="B207" s="13"/>
      <c r="C207" s="2"/>
      <c r="D207" s="13"/>
      <c r="E207" s="13"/>
      <c r="F207" s="13"/>
      <c r="G207" s="13"/>
      <c r="H207" s="13"/>
      <c r="I207" s="13"/>
      <c r="J207" s="205"/>
      <c r="K207" s="205"/>
      <c r="L207" s="173"/>
      <c r="M207" s="31">
        <v>4</v>
      </c>
      <c r="N207" s="6" t="s">
        <v>73</v>
      </c>
      <c r="O207" s="211">
        <v>800</v>
      </c>
      <c r="P207" s="211"/>
      <c r="Q207" s="211"/>
      <c r="R207" s="211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4"/>
      <c r="AF207" s="14"/>
    </row>
    <row r="208" spans="2:32" ht="13.5" hidden="1" customHeight="1">
      <c r="B208" s="13"/>
      <c r="C208" s="2"/>
      <c r="D208" s="13"/>
      <c r="E208" s="13"/>
      <c r="F208" s="13"/>
      <c r="G208" s="13"/>
      <c r="H208" s="13"/>
      <c r="I208" s="13"/>
      <c r="J208" s="29"/>
      <c r="K208" s="29"/>
      <c r="L208" s="6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4"/>
      <c r="AF208" s="14"/>
    </row>
    <row r="209" spans="2:32" ht="13.5" hidden="1" customHeight="1">
      <c r="B209" s="13"/>
      <c r="C209" s="2"/>
      <c r="D209" s="13"/>
      <c r="E209" s="13"/>
      <c r="F209" s="13"/>
      <c r="G209" s="13"/>
      <c r="H209" s="13"/>
      <c r="I209" s="13"/>
      <c r="J209" s="205" t="s">
        <v>93</v>
      </c>
      <c r="K209" s="205"/>
      <c r="L209" s="173" t="s">
        <v>1</v>
      </c>
      <c r="M209" s="113"/>
      <c r="N209" s="176" t="e">
        <f>M206/M207/O207</f>
        <v>#REF!</v>
      </c>
      <c r="O209" s="176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4"/>
      <c r="AF209" s="14"/>
    </row>
    <row r="210" spans="2:32" ht="13.5" hidden="1" customHeight="1">
      <c r="B210" s="13"/>
      <c r="C210" s="2"/>
      <c r="D210" s="13"/>
      <c r="E210" s="13"/>
      <c r="F210" s="13"/>
      <c r="G210" s="13"/>
      <c r="H210" s="13"/>
      <c r="I210" s="13"/>
      <c r="J210" s="205"/>
      <c r="K210" s="205"/>
      <c r="L210" s="173"/>
      <c r="M210" s="113"/>
      <c r="N210" s="176"/>
      <c r="O210" s="176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4"/>
      <c r="AF210" s="14"/>
    </row>
    <row r="211" spans="2:32" ht="13.5" hidden="1" customHeight="1">
      <c r="B211" s="13"/>
      <c r="C211" s="2"/>
      <c r="D211" s="13"/>
      <c r="E211" s="13"/>
      <c r="F211" s="13"/>
      <c r="G211" s="13"/>
      <c r="H211" s="13"/>
      <c r="I211" s="13"/>
      <c r="J211" s="29"/>
      <c r="K211" s="29"/>
      <c r="L211" s="29"/>
      <c r="M211" s="13"/>
      <c r="N211" s="17"/>
      <c r="O211" s="17"/>
      <c r="P211" s="17"/>
      <c r="Q211" s="17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4"/>
      <c r="AF211" s="14"/>
    </row>
    <row r="212" spans="2:32" ht="13.5" hidden="1" customHeight="1">
      <c r="B212" s="13"/>
      <c r="C212" s="2"/>
      <c r="D212" s="13"/>
      <c r="E212" s="13"/>
      <c r="F212" s="13"/>
      <c r="G212" s="13"/>
      <c r="H212" s="13"/>
      <c r="I212" s="13"/>
      <c r="J212" s="29"/>
      <c r="K212" s="29"/>
      <c r="L212" s="29"/>
      <c r="M212" s="13"/>
      <c r="N212" s="17"/>
      <c r="O212" s="17"/>
      <c r="P212" s="17"/>
      <c r="Q212" s="17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4"/>
      <c r="AF212" s="14"/>
    </row>
    <row r="213" spans="2:32" s="11" customFormat="1" ht="13.5" hidden="1" customHeight="1">
      <c r="B213" s="9"/>
      <c r="C213" s="3"/>
      <c r="D213" s="9"/>
      <c r="E213" s="9"/>
      <c r="F213" s="9" t="s">
        <v>84</v>
      </c>
      <c r="G213" s="209" t="s">
        <v>143</v>
      </c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10"/>
    </row>
    <row r="214" spans="2:32" ht="13.5" hidden="1" customHeight="1">
      <c r="B214" s="13"/>
      <c r="C214" s="2"/>
      <c r="D214" s="13"/>
      <c r="E214" s="13"/>
      <c r="F214" s="13"/>
      <c r="G214" s="13"/>
      <c r="H214" s="13"/>
      <c r="I214" s="13"/>
      <c r="J214" s="29"/>
      <c r="K214" s="29"/>
      <c r="L214" s="6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4"/>
      <c r="AF214" s="14"/>
    </row>
    <row r="215" spans="2:32" ht="13.5" hidden="1" customHeight="1">
      <c r="B215" s="13"/>
      <c r="C215" s="2"/>
      <c r="D215" s="13"/>
      <c r="E215" s="13"/>
      <c r="F215" s="13"/>
      <c r="G215" s="13"/>
      <c r="H215" s="13"/>
      <c r="I215" s="13"/>
      <c r="J215" s="113" t="s">
        <v>39</v>
      </c>
      <c r="K215" s="113"/>
      <c r="L215" s="113"/>
      <c r="M215" s="173" t="s">
        <v>1</v>
      </c>
      <c r="N215" s="146" t="s">
        <v>91</v>
      </c>
      <c r="O215" s="146"/>
      <c r="P215" s="146"/>
      <c r="Q215" s="146" t="s">
        <v>73</v>
      </c>
      <c r="R215" s="146"/>
      <c r="S215" s="146" t="s">
        <v>93</v>
      </c>
      <c r="T215" s="146"/>
      <c r="U215" s="146"/>
      <c r="V215" s="13"/>
      <c r="W215" s="13"/>
      <c r="X215" s="13"/>
      <c r="Y215" s="13"/>
      <c r="Z215" s="13"/>
      <c r="AA215" s="13"/>
      <c r="AB215" s="13"/>
      <c r="AC215" s="13"/>
      <c r="AD215" s="13"/>
      <c r="AE215" s="14"/>
      <c r="AF215" s="14"/>
    </row>
    <row r="216" spans="2:32" ht="13.5" hidden="1" customHeight="1">
      <c r="B216" s="13"/>
      <c r="C216" s="2"/>
      <c r="D216" s="13"/>
      <c r="E216" s="13"/>
      <c r="F216" s="13"/>
      <c r="G216" s="13"/>
      <c r="H216" s="13"/>
      <c r="I216" s="13"/>
      <c r="J216" s="113"/>
      <c r="K216" s="113"/>
      <c r="L216" s="113"/>
      <c r="M216" s="113"/>
      <c r="N216" s="125" t="s">
        <v>91</v>
      </c>
      <c r="O216" s="125"/>
      <c r="P216" s="125"/>
      <c r="Q216" s="175" t="s">
        <v>8</v>
      </c>
      <c r="R216" s="125"/>
      <c r="S216" s="125" t="s">
        <v>93</v>
      </c>
      <c r="T216" s="125"/>
      <c r="U216" s="125"/>
      <c r="V216" s="13"/>
      <c r="W216" s="13"/>
      <c r="X216" s="13"/>
      <c r="Y216" s="13"/>
      <c r="Z216" s="13"/>
      <c r="AA216" s="13"/>
      <c r="AB216" s="13"/>
      <c r="AC216" s="13"/>
      <c r="AD216" s="13"/>
      <c r="AE216" s="14"/>
      <c r="AF216" s="14"/>
    </row>
    <row r="217" spans="2:32" ht="13.5" hidden="1" customHeight="1">
      <c r="B217" s="13"/>
      <c r="C217" s="2"/>
      <c r="D217" s="13"/>
      <c r="E217" s="13"/>
      <c r="F217" s="13"/>
      <c r="G217" s="13"/>
      <c r="H217" s="13"/>
      <c r="I217" s="13"/>
      <c r="J217" s="29"/>
      <c r="K217" s="29"/>
      <c r="L217" s="6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4"/>
      <c r="AF217" s="14"/>
    </row>
    <row r="218" spans="2:32" ht="13.5" hidden="1" customHeight="1">
      <c r="B218" s="13"/>
      <c r="C218" s="2"/>
      <c r="D218" s="13"/>
      <c r="E218" s="13"/>
      <c r="F218" s="13"/>
      <c r="G218" s="13"/>
      <c r="H218" s="13"/>
      <c r="I218" s="13"/>
      <c r="J218" s="113" t="s">
        <v>39</v>
      </c>
      <c r="K218" s="113"/>
      <c r="L218" s="113"/>
      <c r="M218" s="173" t="s">
        <v>1</v>
      </c>
      <c r="N218" s="174" t="e">
        <f>H198</f>
        <v>#REF!</v>
      </c>
      <c r="O218" s="174"/>
      <c r="P218" s="174"/>
      <c r="Q218" s="146" t="s">
        <v>73</v>
      </c>
      <c r="R218" s="146"/>
      <c r="S218" s="174" t="e">
        <f>N209</f>
        <v>#REF!</v>
      </c>
      <c r="T218" s="174"/>
      <c r="U218" s="174"/>
      <c r="V218" s="13"/>
      <c r="W218" s="13"/>
      <c r="X218" s="13"/>
      <c r="Y218" s="13"/>
      <c r="Z218" s="13"/>
      <c r="AA218" s="13"/>
      <c r="AB218" s="13"/>
      <c r="AC218" s="13"/>
      <c r="AD218" s="13"/>
      <c r="AE218" s="14"/>
      <c r="AF218" s="14"/>
    </row>
    <row r="219" spans="2:32" ht="13.5" hidden="1" customHeight="1">
      <c r="B219" s="13"/>
      <c r="C219" s="2"/>
      <c r="D219" s="13"/>
      <c r="E219" s="13"/>
      <c r="F219" s="13"/>
      <c r="G219" s="13"/>
      <c r="H219" s="13"/>
      <c r="I219" s="13"/>
      <c r="J219" s="113"/>
      <c r="K219" s="113"/>
      <c r="L219" s="113"/>
      <c r="M219" s="113"/>
      <c r="N219" s="196" t="e">
        <f>H198</f>
        <v>#REF!</v>
      </c>
      <c r="O219" s="196"/>
      <c r="P219" s="196"/>
      <c r="Q219" s="210" t="s">
        <v>8</v>
      </c>
      <c r="R219" s="126"/>
      <c r="S219" s="196" t="e">
        <f>N209</f>
        <v>#REF!</v>
      </c>
      <c r="T219" s="196"/>
      <c r="U219" s="196"/>
      <c r="V219" s="13"/>
      <c r="W219" s="13"/>
      <c r="X219" s="13"/>
      <c r="Y219" s="13"/>
      <c r="Z219" s="13"/>
      <c r="AA219" s="13"/>
      <c r="AB219" s="13"/>
      <c r="AC219" s="13"/>
      <c r="AD219" s="13"/>
      <c r="AE219" s="14"/>
      <c r="AF219" s="14"/>
    </row>
    <row r="220" spans="2:32" ht="13.5" hidden="1" customHeight="1">
      <c r="B220" s="13"/>
      <c r="C220" s="2"/>
      <c r="D220" s="13"/>
      <c r="E220" s="13"/>
      <c r="F220" s="13"/>
      <c r="G220" s="13"/>
      <c r="H220" s="13"/>
      <c r="I220" s="13"/>
      <c r="J220" s="29"/>
      <c r="K220" s="29"/>
      <c r="L220" s="6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4"/>
      <c r="AF220" s="14"/>
    </row>
    <row r="221" spans="2:32" ht="13.5" hidden="1" customHeight="1">
      <c r="B221" s="13"/>
      <c r="C221" s="2"/>
      <c r="D221" s="13"/>
      <c r="E221" s="13"/>
      <c r="F221" s="13"/>
      <c r="G221" s="13"/>
      <c r="H221" s="13"/>
      <c r="I221" s="13"/>
      <c r="J221" s="113" t="s">
        <v>39</v>
      </c>
      <c r="K221" s="113"/>
      <c r="L221" s="113"/>
      <c r="M221" s="173" t="s">
        <v>1</v>
      </c>
      <c r="N221" s="176" t="e">
        <f>(N218*S218)/(N219+S219)</f>
        <v>#REF!</v>
      </c>
      <c r="O221" s="176"/>
      <c r="P221" s="176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4"/>
      <c r="AF221" s="14"/>
    </row>
    <row r="222" spans="2:32" ht="13.5" hidden="1" customHeight="1">
      <c r="B222" s="13"/>
      <c r="C222" s="2"/>
      <c r="D222" s="13"/>
      <c r="E222" s="13"/>
      <c r="F222" s="13"/>
      <c r="G222" s="13"/>
      <c r="H222" s="13"/>
      <c r="I222" s="13"/>
      <c r="J222" s="113"/>
      <c r="K222" s="113"/>
      <c r="L222" s="113"/>
      <c r="M222" s="113"/>
      <c r="N222" s="176"/>
      <c r="O222" s="176"/>
      <c r="P222" s="176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4"/>
      <c r="AF222" s="14"/>
    </row>
    <row r="223" spans="2:32" ht="13.5" hidden="1" customHeight="1">
      <c r="B223" s="13"/>
      <c r="C223" s="2"/>
      <c r="D223" s="13"/>
      <c r="E223" s="13"/>
      <c r="F223" s="13"/>
      <c r="G223" s="13"/>
      <c r="H223" s="13"/>
      <c r="I223" s="13"/>
      <c r="J223" s="17"/>
      <c r="K223" s="17"/>
      <c r="L223" s="17"/>
      <c r="M223" s="17"/>
      <c r="N223" s="17"/>
      <c r="O223" s="17"/>
      <c r="P223" s="17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4"/>
      <c r="AF223" s="14"/>
    </row>
    <row r="224" spans="2:32" ht="13.5" hidden="1" customHeight="1">
      <c r="B224" s="13"/>
      <c r="C224" s="2"/>
      <c r="D224" s="13"/>
      <c r="E224" s="13"/>
      <c r="F224" s="13"/>
      <c r="G224" s="13"/>
      <c r="H224" s="13"/>
      <c r="I224" s="13"/>
      <c r="J224" s="29"/>
      <c r="K224" s="29"/>
      <c r="L224" s="29"/>
      <c r="M224" s="13"/>
      <c r="N224" s="17"/>
      <c r="O224" s="17"/>
      <c r="P224" s="17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4"/>
      <c r="AF224" s="14"/>
    </row>
    <row r="225" spans="2:32" s="11" customFormat="1" ht="13.5" hidden="1" customHeight="1">
      <c r="B225" s="9"/>
      <c r="C225" s="3"/>
      <c r="D225" s="9"/>
      <c r="E225" s="9"/>
      <c r="F225" s="9" t="s">
        <v>85</v>
      </c>
      <c r="G225" s="9" t="s">
        <v>40</v>
      </c>
      <c r="H225" s="9"/>
      <c r="I225" s="9"/>
      <c r="J225" s="28"/>
      <c r="K225" s="28"/>
      <c r="L225" s="28"/>
      <c r="M225" s="9"/>
      <c r="N225" s="16"/>
      <c r="O225" s="16"/>
      <c r="P225" s="16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10"/>
    </row>
    <row r="226" spans="2:32" ht="13.5" hidden="1" customHeight="1">
      <c r="B226" s="13"/>
      <c r="C226" s="2"/>
      <c r="D226" s="13"/>
      <c r="E226" s="13"/>
      <c r="F226" s="13"/>
      <c r="G226" s="13"/>
      <c r="H226" s="13"/>
      <c r="I226" s="13"/>
      <c r="J226" s="29"/>
      <c r="K226" s="29"/>
      <c r="L226" s="6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4"/>
      <c r="AF226" s="14"/>
    </row>
    <row r="227" spans="2:32" ht="13.5" hidden="1" customHeight="1">
      <c r="B227" s="13"/>
      <c r="C227" s="2"/>
      <c r="D227" s="13"/>
      <c r="E227" s="13"/>
      <c r="F227" s="13"/>
      <c r="G227" s="13"/>
      <c r="H227" s="13"/>
      <c r="I227" s="13"/>
      <c r="J227" s="113" t="s">
        <v>41</v>
      </c>
      <c r="K227" s="113"/>
      <c r="L227" s="113"/>
      <c r="M227" s="173" t="s">
        <v>1</v>
      </c>
      <c r="N227" s="146" t="s">
        <v>74</v>
      </c>
      <c r="O227" s="146"/>
      <c r="P227" s="146"/>
      <c r="Q227" s="146"/>
      <c r="R227" s="146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4"/>
      <c r="AF227" s="14"/>
    </row>
    <row r="228" spans="2:32" ht="13.5" hidden="1" customHeight="1">
      <c r="B228" s="13"/>
      <c r="C228" s="2"/>
      <c r="D228" s="13"/>
      <c r="E228" s="13"/>
      <c r="F228" s="13"/>
      <c r="G228" s="13"/>
      <c r="H228" s="13"/>
      <c r="I228" s="13"/>
      <c r="J228" s="113"/>
      <c r="K228" s="113"/>
      <c r="L228" s="113"/>
      <c r="M228" s="113"/>
      <c r="N228" s="125" t="s">
        <v>39</v>
      </c>
      <c r="O228" s="125"/>
      <c r="P228" s="125"/>
      <c r="Q228" s="125"/>
      <c r="R228" s="125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4"/>
      <c r="AF228" s="14"/>
    </row>
    <row r="229" spans="2:32" ht="13.5" hidden="1" customHeight="1">
      <c r="B229" s="13"/>
      <c r="C229" s="2"/>
      <c r="D229" s="13"/>
      <c r="E229" s="13"/>
      <c r="F229" s="13"/>
      <c r="G229" s="13"/>
      <c r="H229" s="13"/>
      <c r="I229" s="13"/>
      <c r="J229" s="29"/>
      <c r="K229" s="29"/>
      <c r="L229" s="6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4"/>
      <c r="AF229" s="14"/>
    </row>
    <row r="230" spans="2:32" ht="13.5" hidden="1" customHeight="1">
      <c r="B230" s="13"/>
      <c r="C230" s="2"/>
      <c r="D230" s="13"/>
      <c r="E230" s="13"/>
      <c r="F230" s="13"/>
      <c r="G230" s="13"/>
      <c r="H230" s="13"/>
      <c r="I230" s="13"/>
      <c r="J230" s="113" t="s">
        <v>41</v>
      </c>
      <c r="K230" s="113"/>
      <c r="L230" s="113"/>
      <c r="M230" s="13"/>
      <c r="N230" s="174">
        <f>$K$81</f>
        <v>0</v>
      </c>
      <c r="O230" s="174"/>
      <c r="P230" s="174"/>
      <c r="Q230" s="174"/>
      <c r="R230" s="174"/>
      <c r="S230" s="174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4"/>
      <c r="AF230" s="14"/>
    </row>
    <row r="231" spans="2:32" ht="13.5" hidden="1" customHeight="1">
      <c r="B231" s="13"/>
      <c r="C231" s="2"/>
      <c r="D231" s="13"/>
      <c r="E231" s="13"/>
      <c r="F231" s="13"/>
      <c r="G231" s="13"/>
      <c r="H231" s="13"/>
      <c r="I231" s="13"/>
      <c r="J231" s="113"/>
      <c r="K231" s="113"/>
      <c r="L231" s="113"/>
      <c r="M231" s="13"/>
      <c r="N231" s="196" t="e">
        <f>N221</f>
        <v>#REF!</v>
      </c>
      <c r="O231" s="196"/>
      <c r="P231" s="196"/>
      <c r="Q231" s="196"/>
      <c r="R231" s="196"/>
      <c r="S231" s="196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4"/>
      <c r="AF231" s="14"/>
    </row>
    <row r="232" spans="2:32" ht="13.5" hidden="1" customHeight="1">
      <c r="B232" s="13"/>
      <c r="C232" s="2"/>
      <c r="D232" s="13"/>
      <c r="E232" s="13"/>
      <c r="F232" s="13"/>
      <c r="G232" s="13"/>
      <c r="H232" s="13"/>
      <c r="I232" s="13"/>
      <c r="J232" s="29"/>
      <c r="K232" s="29"/>
      <c r="L232" s="6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4"/>
      <c r="AF232" s="14"/>
    </row>
    <row r="233" spans="2:32" ht="13.5" hidden="1" customHeight="1">
      <c r="B233" s="13"/>
      <c r="C233" s="2"/>
      <c r="D233" s="13"/>
      <c r="E233" s="13"/>
      <c r="F233" s="13"/>
      <c r="G233" s="13"/>
      <c r="H233" s="13"/>
      <c r="I233" s="13"/>
      <c r="J233" s="113" t="s">
        <v>41</v>
      </c>
      <c r="K233" s="113"/>
      <c r="L233" s="113"/>
      <c r="M233" s="113" t="s">
        <v>1</v>
      </c>
      <c r="N233" s="113"/>
      <c r="O233" s="176" t="e">
        <f>N230/N231</f>
        <v>#REF!</v>
      </c>
      <c r="P233" s="176"/>
      <c r="Q233" s="176"/>
      <c r="R233" s="176"/>
      <c r="S233" s="13"/>
      <c r="T233" s="113" t="s">
        <v>75</v>
      </c>
      <c r="U233" s="113"/>
      <c r="V233" s="13"/>
      <c r="W233" s="13"/>
      <c r="X233" s="13"/>
      <c r="Y233" s="13"/>
      <c r="Z233" s="13"/>
      <c r="AA233" s="13"/>
      <c r="AB233" s="13"/>
      <c r="AC233" s="13"/>
      <c r="AD233" s="13"/>
      <c r="AE233" s="14"/>
      <c r="AF233" s="14"/>
    </row>
    <row r="234" spans="2:32" ht="13.5" hidden="1" customHeight="1">
      <c r="B234" s="13"/>
      <c r="C234" s="2"/>
      <c r="D234" s="13"/>
      <c r="E234" s="13"/>
      <c r="F234" s="13"/>
      <c r="G234" s="13"/>
      <c r="H234" s="13"/>
      <c r="I234" s="13"/>
      <c r="J234" s="113"/>
      <c r="K234" s="113"/>
      <c r="L234" s="113"/>
      <c r="M234" s="113"/>
      <c r="N234" s="113"/>
      <c r="O234" s="176"/>
      <c r="P234" s="176"/>
      <c r="Q234" s="176"/>
      <c r="R234" s="176"/>
      <c r="S234" s="13"/>
      <c r="T234" s="113"/>
      <c r="U234" s="113"/>
      <c r="V234" s="13"/>
      <c r="W234" s="13"/>
      <c r="X234" s="13"/>
      <c r="Y234" s="13"/>
      <c r="Z234" s="13"/>
      <c r="AA234" s="13"/>
      <c r="AB234" s="13"/>
      <c r="AC234" s="13"/>
      <c r="AD234" s="13"/>
      <c r="AE234" s="14"/>
      <c r="AF234" s="14"/>
    </row>
    <row r="235" spans="2:32" ht="13.5" hidden="1" customHeight="1">
      <c r="B235" s="13"/>
      <c r="C235" s="2"/>
      <c r="D235" s="13"/>
      <c r="E235" s="13"/>
      <c r="F235" s="13"/>
      <c r="G235" s="13"/>
      <c r="H235" s="13"/>
      <c r="I235" s="13"/>
      <c r="J235" s="29"/>
      <c r="K235" s="29"/>
      <c r="L235" s="6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4"/>
      <c r="AF235" s="14"/>
    </row>
    <row r="236" spans="2:32" ht="13.5" hidden="1" customHeight="1">
      <c r="B236" s="13"/>
      <c r="C236" s="2"/>
      <c r="D236" s="13"/>
      <c r="E236" s="13"/>
      <c r="F236" s="13"/>
      <c r="G236" s="13"/>
      <c r="H236" s="13"/>
      <c r="I236" s="13"/>
      <c r="J236" s="29"/>
      <c r="K236" s="29"/>
      <c r="L236" s="6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4"/>
      <c r="AF236" s="14"/>
    </row>
    <row r="237" spans="2:32" ht="13.5" hidden="1" customHeight="1">
      <c r="B237" s="13"/>
      <c r="C237" s="2"/>
      <c r="D237" s="13"/>
      <c r="E237" s="13"/>
      <c r="F237" s="13"/>
      <c r="G237" s="13"/>
      <c r="H237" s="13"/>
      <c r="I237" s="13"/>
      <c r="J237" s="29"/>
      <c r="K237" s="29"/>
      <c r="L237" s="6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4"/>
      <c r="AF237" s="14"/>
    </row>
    <row r="238" spans="2:32" ht="13.5" hidden="1" customHeight="1">
      <c r="B238" s="13"/>
      <c r="C238" s="2"/>
      <c r="D238" s="13"/>
      <c r="E238" s="13"/>
      <c r="F238" s="13"/>
      <c r="G238" s="13"/>
      <c r="H238" s="13"/>
      <c r="I238" s="13"/>
      <c r="J238" s="29"/>
      <c r="K238" s="29"/>
      <c r="L238" s="6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4"/>
      <c r="AF238" s="14"/>
    </row>
    <row r="239" spans="2:32" ht="13.5" hidden="1" customHeight="1">
      <c r="B239" s="13"/>
      <c r="C239" s="2"/>
      <c r="D239" s="13"/>
      <c r="E239" s="13"/>
      <c r="F239" s="13"/>
      <c r="G239" s="13"/>
      <c r="H239" s="13"/>
      <c r="I239" s="13"/>
      <c r="J239" s="29"/>
      <c r="K239" s="29"/>
      <c r="L239" s="6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4"/>
      <c r="AF239" s="14"/>
    </row>
    <row r="240" spans="2:32" ht="13.5" hidden="1" customHeight="1">
      <c r="B240" s="21"/>
      <c r="C240" s="34"/>
      <c r="D240" s="21"/>
      <c r="E240" s="21"/>
      <c r="F240" s="21"/>
      <c r="G240" s="21"/>
      <c r="H240" s="21"/>
      <c r="I240" s="21"/>
      <c r="J240" s="35"/>
      <c r="K240" s="35"/>
      <c r="L240" s="22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3"/>
      <c r="AF240" s="14"/>
    </row>
    <row r="241" spans="2:32" ht="13.5" hidden="1" customHeight="1">
      <c r="B241" s="13"/>
      <c r="C241" s="2"/>
      <c r="D241" s="13"/>
      <c r="E241" s="13"/>
      <c r="F241" s="13"/>
      <c r="G241" s="13"/>
      <c r="H241" s="13"/>
      <c r="I241" s="13"/>
      <c r="J241" s="29"/>
      <c r="K241" s="29"/>
      <c r="L241" s="6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</row>
    <row r="242" spans="2:32" ht="13.5" hidden="1" customHeight="1">
      <c r="B242" s="13"/>
      <c r="C242" s="2"/>
      <c r="D242" s="13"/>
      <c r="E242" s="13"/>
      <c r="F242" s="13"/>
      <c r="G242" s="13"/>
      <c r="H242" s="13"/>
      <c r="I242" s="13"/>
      <c r="J242" s="29"/>
      <c r="K242" s="29"/>
      <c r="L242" s="6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</row>
    <row r="243" spans="2:32" ht="13.5" hidden="1" customHeight="1">
      <c r="B243" s="13"/>
      <c r="C243" s="2"/>
      <c r="D243" s="13"/>
      <c r="E243" s="13"/>
      <c r="F243" s="13"/>
      <c r="G243" s="13"/>
      <c r="H243" s="13"/>
      <c r="I243" s="13"/>
      <c r="J243" s="29"/>
      <c r="K243" s="29"/>
      <c r="L243" s="6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</row>
    <row r="244" spans="2:32" s="11" customFormat="1" ht="13.5" hidden="1" customHeight="1">
      <c r="B244" s="9"/>
      <c r="C244" s="3"/>
      <c r="D244" s="9"/>
      <c r="E244" s="9"/>
      <c r="F244" s="9" t="s">
        <v>86</v>
      </c>
      <c r="G244" s="9" t="s">
        <v>65</v>
      </c>
      <c r="H244" s="9"/>
      <c r="I244" s="9"/>
      <c r="J244" s="28"/>
      <c r="K244" s="28"/>
      <c r="L244" s="7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10"/>
    </row>
    <row r="245" spans="2:32" s="11" customFormat="1" ht="13.5" hidden="1" customHeight="1">
      <c r="B245" s="9"/>
      <c r="C245" s="3"/>
      <c r="D245" s="9"/>
      <c r="E245" s="9"/>
      <c r="F245" s="9"/>
      <c r="G245" s="9" t="s">
        <v>40</v>
      </c>
      <c r="H245" s="9"/>
      <c r="I245" s="9"/>
      <c r="J245" s="28"/>
      <c r="K245" s="28"/>
      <c r="L245" s="7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10"/>
      <c r="AF245" s="10"/>
    </row>
    <row r="246" spans="2:32" ht="13.5" hidden="1" customHeight="1">
      <c r="B246" s="13"/>
      <c r="C246" s="2"/>
      <c r="D246" s="13"/>
      <c r="E246" s="13"/>
      <c r="F246" s="13"/>
      <c r="G246" s="13"/>
      <c r="H246" s="13"/>
      <c r="I246" s="13"/>
      <c r="J246" s="29"/>
      <c r="K246" s="29"/>
      <c r="L246" s="6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4"/>
      <c r="AF246" s="14"/>
    </row>
    <row r="247" spans="2:32" ht="13.5" hidden="1" customHeight="1">
      <c r="B247" s="13"/>
      <c r="C247" s="2"/>
      <c r="D247" s="13"/>
      <c r="E247" s="13"/>
      <c r="F247" s="13"/>
      <c r="G247" s="13"/>
      <c r="H247" s="13"/>
      <c r="I247" s="13"/>
      <c r="J247" s="113" t="s">
        <v>42</v>
      </c>
      <c r="K247" s="113"/>
      <c r="L247" s="113"/>
      <c r="M247" s="173" t="s">
        <v>1</v>
      </c>
      <c r="N247" s="113" t="s">
        <v>41</v>
      </c>
      <c r="O247" s="113"/>
      <c r="P247" s="113"/>
      <c r="Q247" s="173" t="s">
        <v>73</v>
      </c>
      <c r="R247" s="173"/>
      <c r="S247" s="113">
        <v>1.25</v>
      </c>
      <c r="T247" s="113"/>
      <c r="U247" s="113"/>
      <c r="V247" s="13"/>
      <c r="W247" s="13"/>
      <c r="X247" s="13"/>
      <c r="Y247" s="13"/>
      <c r="Z247" s="13"/>
      <c r="AA247" s="13"/>
      <c r="AB247" s="13"/>
      <c r="AC247" s="13"/>
      <c r="AD247" s="13"/>
      <c r="AE247" s="14"/>
      <c r="AF247" s="14"/>
    </row>
    <row r="248" spans="2:32" ht="13.5" hidden="1" customHeight="1">
      <c r="B248" s="13"/>
      <c r="C248" s="2"/>
      <c r="D248" s="13"/>
      <c r="E248" s="13"/>
      <c r="F248" s="13"/>
      <c r="G248" s="13"/>
      <c r="H248" s="13"/>
      <c r="I248" s="13"/>
      <c r="J248" s="113"/>
      <c r="K248" s="113"/>
      <c r="L248" s="113"/>
      <c r="M248" s="113"/>
      <c r="N248" s="113"/>
      <c r="O248" s="113"/>
      <c r="P248" s="113"/>
      <c r="Q248" s="173"/>
      <c r="R248" s="173"/>
      <c r="S248" s="113"/>
      <c r="T248" s="113"/>
      <c r="U248" s="113"/>
      <c r="V248" s="13"/>
      <c r="W248" s="13"/>
      <c r="X248" s="13"/>
      <c r="Y248" s="13"/>
      <c r="Z248" s="13"/>
      <c r="AA248" s="13"/>
      <c r="AB248" s="13"/>
      <c r="AC248" s="13"/>
      <c r="AD248" s="13"/>
      <c r="AE248" s="14"/>
      <c r="AF248" s="14"/>
    </row>
    <row r="249" spans="2:32" ht="13.5" hidden="1" customHeight="1">
      <c r="B249" s="13"/>
      <c r="C249" s="2"/>
      <c r="D249" s="13"/>
      <c r="E249" s="13"/>
      <c r="F249" s="13"/>
      <c r="G249" s="13"/>
      <c r="H249" s="13"/>
      <c r="I249" s="13"/>
      <c r="J249" s="29"/>
      <c r="K249" s="29"/>
      <c r="L249" s="6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4"/>
      <c r="AF249" s="14"/>
    </row>
    <row r="250" spans="2:32" ht="13.5" hidden="1" customHeight="1">
      <c r="B250" s="13"/>
      <c r="C250" s="2"/>
      <c r="D250" s="13"/>
      <c r="E250" s="13"/>
      <c r="F250" s="13"/>
      <c r="G250" s="13"/>
      <c r="H250" s="13"/>
      <c r="I250" s="13"/>
      <c r="J250" s="113" t="s">
        <v>42</v>
      </c>
      <c r="K250" s="113"/>
      <c r="L250" s="113"/>
      <c r="M250" s="173" t="s">
        <v>1</v>
      </c>
      <c r="N250" s="176" t="e">
        <f>O232+O233</f>
        <v>#REF!</v>
      </c>
      <c r="O250" s="176"/>
      <c r="P250" s="176"/>
      <c r="Q250" s="173" t="s">
        <v>73</v>
      </c>
      <c r="R250" s="173"/>
      <c r="S250" s="113">
        <v>1.25</v>
      </c>
      <c r="T250" s="113"/>
      <c r="U250" s="113"/>
      <c r="V250" s="13"/>
      <c r="W250" s="13"/>
      <c r="X250" s="13"/>
      <c r="Y250" s="13"/>
      <c r="Z250" s="13"/>
      <c r="AA250" s="13"/>
      <c r="AB250" s="13"/>
      <c r="AC250" s="13"/>
      <c r="AD250" s="13"/>
      <c r="AE250" s="14"/>
      <c r="AF250" s="14"/>
    </row>
    <row r="251" spans="2:32" ht="13.5" hidden="1" customHeight="1">
      <c r="B251" s="13"/>
      <c r="C251" s="2"/>
      <c r="D251" s="13"/>
      <c r="E251" s="13"/>
      <c r="F251" s="13"/>
      <c r="G251" s="13"/>
      <c r="H251" s="13"/>
      <c r="I251" s="13"/>
      <c r="J251" s="113"/>
      <c r="K251" s="113"/>
      <c r="L251" s="113"/>
      <c r="M251" s="113"/>
      <c r="N251" s="176"/>
      <c r="O251" s="176"/>
      <c r="P251" s="176"/>
      <c r="Q251" s="173"/>
      <c r="R251" s="173"/>
      <c r="S251" s="113"/>
      <c r="T251" s="113"/>
      <c r="U251" s="113"/>
      <c r="V251" s="13"/>
      <c r="W251" s="13"/>
      <c r="X251" s="13"/>
      <c r="Y251" s="13"/>
      <c r="Z251" s="13"/>
      <c r="AA251" s="13"/>
      <c r="AB251" s="13"/>
      <c r="AC251" s="13"/>
      <c r="AD251" s="13"/>
      <c r="AE251" s="14"/>
      <c r="AF251" s="14"/>
    </row>
    <row r="252" spans="2:32" ht="13.5" hidden="1" customHeight="1">
      <c r="B252" s="13"/>
      <c r="C252" s="2"/>
      <c r="D252" s="13"/>
      <c r="E252" s="13"/>
      <c r="F252" s="13"/>
      <c r="G252" s="13"/>
      <c r="H252" s="13"/>
      <c r="I252" s="13"/>
      <c r="J252" s="29"/>
      <c r="K252" s="29"/>
      <c r="L252" s="6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4"/>
      <c r="AF252" s="14"/>
    </row>
    <row r="253" spans="2:32" ht="13.5" hidden="1" customHeight="1">
      <c r="B253" s="13"/>
      <c r="C253" s="2"/>
      <c r="D253" s="13"/>
      <c r="E253" s="13"/>
      <c r="F253" s="13"/>
      <c r="G253" s="13"/>
      <c r="H253" s="13"/>
      <c r="I253" s="13"/>
      <c r="J253" s="113" t="s">
        <v>42</v>
      </c>
      <c r="K253" s="113"/>
      <c r="L253" s="113"/>
      <c r="M253" s="173" t="s">
        <v>1</v>
      </c>
      <c r="N253" s="13"/>
      <c r="O253" s="176" t="e">
        <f>N250*S250</f>
        <v>#REF!</v>
      </c>
      <c r="P253" s="176"/>
      <c r="Q253" s="176"/>
      <c r="R253" s="176"/>
      <c r="S253" s="13"/>
      <c r="T253" s="113" t="s">
        <v>75</v>
      </c>
      <c r="U253" s="113"/>
      <c r="V253" s="13"/>
      <c r="W253" s="13"/>
      <c r="X253" s="13"/>
      <c r="Y253" s="13"/>
      <c r="Z253" s="13"/>
      <c r="AA253" s="13"/>
      <c r="AB253" s="13"/>
      <c r="AC253" s="13"/>
      <c r="AD253" s="13"/>
      <c r="AE253" s="14"/>
      <c r="AF253" s="14"/>
    </row>
    <row r="254" spans="2:32" ht="13.5" hidden="1" customHeight="1">
      <c r="B254" s="13"/>
      <c r="C254" s="2"/>
      <c r="D254" s="13"/>
      <c r="E254" s="13"/>
      <c r="F254" s="13"/>
      <c r="G254" s="13"/>
      <c r="H254" s="13"/>
      <c r="I254" s="13"/>
      <c r="J254" s="113"/>
      <c r="K254" s="113"/>
      <c r="L254" s="113"/>
      <c r="M254" s="113"/>
      <c r="N254" s="13"/>
      <c r="O254" s="176"/>
      <c r="P254" s="176"/>
      <c r="Q254" s="176"/>
      <c r="R254" s="176"/>
      <c r="S254" s="13"/>
      <c r="T254" s="113"/>
      <c r="U254" s="113"/>
      <c r="V254" s="13"/>
      <c r="W254" s="13"/>
      <c r="X254" s="13"/>
      <c r="Y254" s="13"/>
      <c r="Z254" s="13"/>
      <c r="AA254" s="13"/>
      <c r="AB254" s="13"/>
      <c r="AC254" s="13"/>
      <c r="AD254" s="13"/>
      <c r="AE254" s="14"/>
      <c r="AF254" s="14"/>
    </row>
    <row r="255" spans="2:32" ht="13.5" hidden="1" customHeight="1">
      <c r="B255" s="13"/>
      <c r="C255" s="2"/>
      <c r="D255" s="13"/>
      <c r="E255" s="13"/>
      <c r="F255" s="13"/>
      <c r="G255" s="13"/>
      <c r="H255" s="13"/>
      <c r="I255" s="13"/>
      <c r="J255" s="29"/>
      <c r="K255" s="29"/>
      <c r="L255" s="6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4"/>
      <c r="AF255" s="14"/>
    </row>
    <row r="256" spans="2:32" ht="13.5" hidden="1" customHeight="1">
      <c r="B256" s="13"/>
      <c r="C256" s="2"/>
      <c r="D256" s="13"/>
      <c r="E256" s="13"/>
      <c r="F256" s="13"/>
      <c r="G256" s="13"/>
      <c r="H256" s="13"/>
      <c r="I256" s="13"/>
      <c r="J256" s="29"/>
      <c r="K256" s="29"/>
      <c r="L256" s="6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4"/>
      <c r="AF256" s="14"/>
    </row>
    <row r="257" spans="2:32" ht="13.5" hidden="1" customHeight="1">
      <c r="B257" s="13"/>
      <c r="C257" s="2"/>
      <c r="D257" s="13"/>
      <c r="E257" s="13"/>
      <c r="F257" s="13"/>
      <c r="G257" s="13"/>
      <c r="H257" s="13"/>
      <c r="I257" s="13"/>
      <c r="J257" s="29"/>
      <c r="K257" s="29"/>
      <c r="L257" s="6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4"/>
      <c r="AF257" s="14"/>
    </row>
    <row r="258" spans="2:32" s="11" customFormat="1" ht="13.5" hidden="1" customHeight="1">
      <c r="B258" s="9"/>
      <c r="C258" s="3"/>
      <c r="D258" s="9"/>
      <c r="E258" s="9" t="s">
        <v>43</v>
      </c>
      <c r="F258" s="9"/>
      <c r="G258" s="9"/>
      <c r="H258" s="9"/>
      <c r="I258" s="9"/>
      <c r="J258" s="28"/>
      <c r="K258" s="28"/>
      <c r="L258" s="7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10"/>
    </row>
    <row r="259" spans="2:32" s="11" customFormat="1" ht="13.5" hidden="1" customHeight="1">
      <c r="B259" s="9"/>
      <c r="C259" s="3"/>
      <c r="D259" s="9"/>
      <c r="E259" s="9" t="s">
        <v>44</v>
      </c>
      <c r="F259" s="9"/>
      <c r="G259" s="9"/>
      <c r="H259" s="9"/>
      <c r="I259" s="9"/>
      <c r="J259" s="28"/>
      <c r="K259" s="28"/>
      <c r="L259" s="7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10"/>
      <c r="AF259" s="10"/>
    </row>
    <row r="260" spans="2:32" ht="13.5" hidden="1" customHeight="1">
      <c r="B260" s="13"/>
      <c r="C260" s="2"/>
      <c r="D260" s="13"/>
      <c r="E260" s="13"/>
      <c r="F260" s="13"/>
      <c r="G260" s="13"/>
      <c r="H260" s="13"/>
      <c r="I260" s="13"/>
      <c r="J260" s="29"/>
      <c r="K260" s="29"/>
      <c r="L260" s="6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4"/>
      <c r="AF260" s="14"/>
    </row>
    <row r="261" spans="2:32" ht="13.5" hidden="1" customHeight="1">
      <c r="B261" s="13"/>
      <c r="C261" s="2"/>
      <c r="D261" s="13"/>
      <c r="E261" s="13"/>
      <c r="F261" s="13"/>
      <c r="G261" s="13"/>
      <c r="H261" s="13"/>
      <c r="I261" s="13"/>
      <c r="J261" s="29"/>
      <c r="K261" s="29"/>
      <c r="L261" s="6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4"/>
      <c r="AF261" s="14"/>
    </row>
    <row r="262" spans="2:32" ht="13.5" hidden="1" customHeight="1">
      <c r="B262" s="13"/>
      <c r="C262" s="2"/>
      <c r="D262" s="13"/>
      <c r="E262" s="13"/>
      <c r="F262" s="13"/>
      <c r="G262" s="13"/>
      <c r="H262" s="13"/>
      <c r="I262" s="13"/>
      <c r="J262" s="29"/>
      <c r="K262" s="29"/>
      <c r="L262" s="6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4"/>
      <c r="AF262" s="14"/>
    </row>
    <row r="263" spans="2:32" ht="13.5" hidden="1" customHeight="1">
      <c r="B263" s="13"/>
      <c r="C263" s="2"/>
      <c r="D263" s="13"/>
      <c r="E263" s="13"/>
      <c r="F263" s="13"/>
      <c r="G263" s="13"/>
      <c r="H263" s="13"/>
      <c r="I263" s="13"/>
      <c r="J263" s="29"/>
      <c r="K263" s="29"/>
      <c r="L263" s="6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4"/>
      <c r="AF263" s="14"/>
    </row>
    <row r="264" spans="2:32" ht="13.5" hidden="1" customHeight="1">
      <c r="B264" s="13"/>
      <c r="C264" s="2"/>
      <c r="D264" s="13"/>
      <c r="E264" s="13"/>
      <c r="F264" s="13"/>
      <c r="G264" s="13"/>
      <c r="H264" s="13"/>
      <c r="I264" s="13"/>
      <c r="J264" s="29"/>
      <c r="K264" s="29"/>
      <c r="L264" s="6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4"/>
      <c r="AF264" s="14"/>
    </row>
    <row r="265" spans="2:32" ht="13.5" hidden="1" customHeight="1">
      <c r="B265" s="13"/>
      <c r="C265" s="2"/>
      <c r="D265" s="13"/>
      <c r="E265" s="13"/>
      <c r="F265" s="13"/>
      <c r="G265" s="13"/>
      <c r="H265" s="13"/>
      <c r="I265" s="13"/>
      <c r="J265" s="29"/>
      <c r="K265" s="29"/>
      <c r="L265" s="6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4"/>
      <c r="AF265" s="14"/>
    </row>
    <row r="266" spans="2:32" ht="13.5" hidden="1" customHeight="1">
      <c r="B266" s="13"/>
      <c r="C266" s="2"/>
      <c r="D266" s="13"/>
      <c r="E266" s="13"/>
      <c r="F266" s="13"/>
      <c r="G266" s="13"/>
      <c r="H266" s="13"/>
      <c r="I266" s="13"/>
      <c r="J266" s="29"/>
      <c r="K266" s="29"/>
      <c r="L266" s="6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4"/>
      <c r="AF266" s="14"/>
    </row>
    <row r="267" spans="2:32" ht="13.5" hidden="1" customHeight="1">
      <c r="B267" s="13"/>
      <c r="C267" s="2"/>
      <c r="D267" s="13"/>
      <c r="E267" s="13"/>
      <c r="F267" s="13"/>
      <c r="G267" s="13"/>
      <c r="H267" s="13"/>
      <c r="I267" s="13"/>
      <c r="J267" s="29"/>
      <c r="K267" s="29"/>
      <c r="L267" s="6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4"/>
      <c r="AF267" s="14"/>
    </row>
    <row r="268" spans="2:32" ht="13.5" hidden="1" customHeight="1">
      <c r="B268" s="13"/>
      <c r="C268" s="2"/>
      <c r="D268" s="13"/>
      <c r="E268" s="13"/>
      <c r="F268" s="13"/>
      <c r="G268" s="13"/>
      <c r="H268" s="13"/>
      <c r="I268" s="13"/>
      <c r="J268" s="29"/>
      <c r="K268" s="29"/>
      <c r="L268" s="6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4"/>
      <c r="AF268" s="14"/>
    </row>
    <row r="269" spans="2:32" ht="13.5" hidden="1" customHeight="1">
      <c r="B269" s="13"/>
      <c r="C269" s="2"/>
      <c r="D269" s="13"/>
      <c r="E269" s="13"/>
      <c r="F269" s="13"/>
      <c r="G269" s="13"/>
      <c r="H269" s="13"/>
      <c r="I269" s="13"/>
      <c r="J269" s="29"/>
      <c r="K269" s="29"/>
      <c r="L269" s="6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4"/>
      <c r="AF269" s="14"/>
    </row>
    <row r="270" spans="2:32" ht="13.5" hidden="1" customHeight="1">
      <c r="B270" s="13"/>
      <c r="C270" s="2"/>
      <c r="D270" s="13"/>
      <c r="E270" s="13"/>
      <c r="F270" s="13"/>
      <c r="G270" s="13"/>
      <c r="H270" s="13"/>
      <c r="I270" s="13"/>
      <c r="J270" s="29"/>
      <c r="K270" s="29"/>
      <c r="L270" s="6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4"/>
      <c r="AF270" s="14"/>
    </row>
    <row r="271" spans="2:32" ht="13.5" hidden="1" customHeight="1">
      <c r="B271" s="13"/>
      <c r="C271" s="2"/>
      <c r="D271" s="13"/>
      <c r="E271" s="13"/>
      <c r="F271" s="13"/>
      <c r="G271" s="13"/>
      <c r="H271" s="13"/>
      <c r="I271" s="13"/>
      <c r="J271" s="29"/>
      <c r="K271" s="29"/>
      <c r="L271" s="6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4"/>
      <c r="AF271" s="14"/>
    </row>
    <row r="272" spans="2:32" ht="13.5" hidden="1" customHeight="1">
      <c r="B272" s="13"/>
      <c r="C272" s="2"/>
      <c r="D272" s="13"/>
      <c r="E272" s="13"/>
      <c r="F272" s="13"/>
      <c r="G272" s="13"/>
      <c r="H272" s="13"/>
      <c r="I272" s="13"/>
      <c r="J272" s="29"/>
      <c r="K272" s="29"/>
      <c r="L272" s="6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4"/>
      <c r="AF272" s="14"/>
    </row>
    <row r="273" spans="2:32" ht="13.5" hidden="1" customHeight="1">
      <c r="B273" s="13"/>
      <c r="C273" s="2"/>
      <c r="D273" s="13"/>
      <c r="E273" s="13"/>
      <c r="F273" s="13"/>
      <c r="G273" s="13"/>
      <c r="H273" s="13"/>
      <c r="I273" s="13"/>
      <c r="J273" s="29"/>
      <c r="K273" s="29"/>
      <c r="L273" s="6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4"/>
      <c r="AF273" s="14"/>
    </row>
    <row r="274" spans="2:32" ht="13.5" hidden="1" customHeight="1">
      <c r="B274" s="13"/>
      <c r="C274" s="2"/>
      <c r="D274" s="13"/>
      <c r="E274" s="13"/>
      <c r="F274" s="13"/>
      <c r="G274" s="13"/>
      <c r="H274" s="13"/>
      <c r="I274" s="13"/>
      <c r="J274" s="29"/>
      <c r="K274" s="29"/>
      <c r="L274" s="6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4"/>
      <c r="AF274" s="14"/>
    </row>
    <row r="275" spans="2:32" ht="13.5" hidden="1" customHeight="1">
      <c r="B275" s="13"/>
      <c r="C275" s="2"/>
      <c r="D275" s="13"/>
      <c r="E275" s="13"/>
      <c r="F275" s="13"/>
      <c r="G275" s="13"/>
      <c r="H275" s="13"/>
      <c r="I275" s="13"/>
      <c r="J275" s="29"/>
      <c r="K275" s="29"/>
      <c r="L275" s="6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4"/>
      <c r="AF275" s="14"/>
    </row>
    <row r="276" spans="2:32" ht="13.5" hidden="1" customHeight="1">
      <c r="B276" s="13"/>
      <c r="C276" s="2"/>
      <c r="D276" s="13"/>
      <c r="E276" s="13"/>
      <c r="F276" s="13"/>
      <c r="G276" s="13"/>
      <c r="H276" s="13"/>
      <c r="I276" s="13"/>
      <c r="J276" s="29"/>
      <c r="K276" s="29"/>
      <c r="L276" s="6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4"/>
      <c r="AF276" s="14"/>
    </row>
    <row r="277" spans="2:32" ht="13.5" hidden="1" customHeight="1">
      <c r="B277" s="13"/>
      <c r="C277" s="2"/>
      <c r="D277" s="13"/>
      <c r="E277" s="13"/>
      <c r="F277" s="13"/>
      <c r="G277" s="13"/>
      <c r="H277" s="13"/>
      <c r="I277" s="13"/>
      <c r="J277" s="29"/>
      <c r="K277" s="29"/>
      <c r="L277" s="6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4"/>
      <c r="AF277" s="14"/>
    </row>
    <row r="278" spans="2:32" ht="13.5" hidden="1" customHeight="1">
      <c r="B278" s="13"/>
      <c r="C278" s="2"/>
      <c r="D278" s="13"/>
      <c r="E278" s="13"/>
      <c r="F278" s="13"/>
      <c r="G278" s="13"/>
      <c r="H278" s="13"/>
      <c r="I278" s="13"/>
      <c r="J278" s="29"/>
      <c r="K278" s="29"/>
      <c r="L278" s="6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4"/>
      <c r="AF278" s="14"/>
    </row>
    <row r="279" spans="2:32" ht="13.5" hidden="1" customHeight="1">
      <c r="B279" s="13"/>
      <c r="C279" s="2"/>
      <c r="D279" s="13"/>
      <c r="E279" s="13"/>
      <c r="F279" s="13"/>
      <c r="G279" s="13"/>
      <c r="H279" s="13"/>
      <c r="I279" s="13"/>
      <c r="J279" s="29"/>
      <c r="K279" s="29"/>
      <c r="L279" s="6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4"/>
      <c r="AF279" s="14"/>
    </row>
    <row r="280" spans="2:32" ht="13.5" hidden="1" customHeight="1">
      <c r="B280" s="13"/>
      <c r="C280" s="2"/>
      <c r="D280" s="13"/>
      <c r="E280" s="13"/>
      <c r="F280" s="13"/>
      <c r="G280" s="13"/>
      <c r="H280" s="13"/>
      <c r="I280" s="13"/>
      <c r="J280" s="29"/>
      <c r="K280" s="29"/>
      <c r="L280" s="6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4"/>
      <c r="AF280" s="14"/>
    </row>
    <row r="281" spans="2:32" ht="13.5" hidden="1" customHeight="1">
      <c r="B281" s="13"/>
      <c r="C281" s="2"/>
      <c r="D281" s="13"/>
      <c r="E281" s="13"/>
      <c r="F281" s="13"/>
      <c r="G281" s="13"/>
      <c r="H281" s="13"/>
      <c r="I281" s="13"/>
      <c r="J281" s="29"/>
      <c r="K281" s="29"/>
      <c r="L281" s="6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4"/>
      <c r="AF281" s="14"/>
    </row>
    <row r="282" spans="2:32" ht="13.5" hidden="1" customHeight="1">
      <c r="B282" s="13"/>
      <c r="C282" s="2"/>
      <c r="D282" s="13"/>
      <c r="E282" s="13"/>
      <c r="F282" s="13"/>
      <c r="G282" s="13"/>
      <c r="H282" s="13"/>
      <c r="I282" s="13"/>
      <c r="J282" s="29"/>
      <c r="K282" s="29"/>
      <c r="L282" s="6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4"/>
      <c r="AF282" s="14"/>
    </row>
    <row r="283" spans="2:32" ht="13.5" hidden="1" customHeight="1">
      <c r="B283" s="13"/>
      <c r="C283" s="2"/>
      <c r="D283" s="13"/>
      <c r="E283" s="13"/>
      <c r="F283" s="13"/>
      <c r="G283" s="13"/>
      <c r="H283" s="13"/>
      <c r="I283" s="13"/>
      <c r="J283" s="29"/>
      <c r="K283" s="29"/>
      <c r="L283" s="6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4"/>
      <c r="AF283" s="14"/>
    </row>
    <row r="284" spans="2:32" ht="13.5" hidden="1" customHeight="1">
      <c r="B284" s="13"/>
      <c r="C284" s="2"/>
      <c r="D284" s="13"/>
      <c r="E284" s="13"/>
      <c r="F284" s="13"/>
      <c r="G284" s="13"/>
      <c r="H284" s="13"/>
      <c r="I284" s="13"/>
      <c r="J284" s="29"/>
      <c r="K284" s="29"/>
      <c r="L284" s="6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4"/>
      <c r="AF284" s="14"/>
    </row>
    <row r="285" spans="2:32" ht="13.5" hidden="1" customHeight="1">
      <c r="B285" s="13"/>
      <c r="C285" s="2"/>
      <c r="D285" s="13"/>
      <c r="E285" s="13"/>
      <c r="F285" s="13"/>
      <c r="G285" s="13"/>
      <c r="H285" s="13"/>
      <c r="I285" s="13"/>
      <c r="J285" s="29"/>
      <c r="K285" s="29"/>
      <c r="L285" s="6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4"/>
      <c r="AF285" s="14"/>
    </row>
    <row r="286" spans="2:32" ht="13.5" hidden="1" customHeight="1">
      <c r="B286" s="13"/>
      <c r="C286" s="2"/>
      <c r="D286" s="13"/>
      <c r="E286" s="13"/>
      <c r="F286" s="13"/>
      <c r="G286" s="13"/>
      <c r="H286" s="13"/>
      <c r="I286" s="13"/>
      <c r="J286" s="29"/>
      <c r="K286" s="29"/>
      <c r="L286" s="6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4"/>
      <c r="AF286" s="14"/>
    </row>
    <row r="287" spans="2:32" ht="13.5" hidden="1" customHeight="1">
      <c r="B287" s="13"/>
      <c r="C287" s="2"/>
      <c r="D287" s="13"/>
      <c r="E287" s="13"/>
      <c r="F287" s="13"/>
      <c r="G287" s="13"/>
      <c r="H287" s="13"/>
      <c r="I287" s="13"/>
      <c r="J287" s="29"/>
      <c r="K287" s="29"/>
      <c r="L287" s="6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4"/>
      <c r="AF287" s="14"/>
    </row>
    <row r="288" spans="2:32" ht="13.5" hidden="1" customHeight="1">
      <c r="B288" s="21"/>
      <c r="C288" s="34"/>
      <c r="D288" s="21"/>
      <c r="E288" s="21"/>
      <c r="F288" s="21"/>
      <c r="G288" s="21"/>
      <c r="H288" s="21"/>
      <c r="I288" s="21"/>
      <c r="J288" s="35"/>
      <c r="K288" s="35"/>
      <c r="L288" s="22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3"/>
      <c r="AF288" s="14"/>
    </row>
    <row r="289" spans="2:32" ht="13.5" hidden="1" customHeight="1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4"/>
      <c r="AF289" s="14"/>
    </row>
    <row r="290" spans="2:32" s="11" customFormat="1" ht="13.5" hidden="1" customHeight="1">
      <c r="B290" s="9"/>
      <c r="C290" s="3"/>
      <c r="D290" s="9"/>
      <c r="E290" s="9" t="s">
        <v>87</v>
      </c>
      <c r="F290" s="9"/>
      <c r="G290" s="9"/>
      <c r="H290" s="9"/>
      <c r="I290" s="9"/>
      <c r="J290" s="28"/>
      <c r="K290" s="28"/>
      <c r="L290" s="28"/>
      <c r="M290" s="9"/>
      <c r="N290" s="16"/>
      <c r="O290" s="16"/>
      <c r="P290" s="16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0"/>
      <c r="AF290" s="10"/>
    </row>
    <row r="291" spans="2:32" ht="13.5" hidden="1" customHeight="1">
      <c r="B291" s="13"/>
      <c r="C291" s="2"/>
      <c r="D291" s="13"/>
      <c r="E291" s="13"/>
      <c r="F291" s="13"/>
      <c r="G291" s="13"/>
      <c r="H291" s="13"/>
      <c r="I291" s="13"/>
      <c r="J291" s="29"/>
      <c r="K291" s="29"/>
      <c r="L291" s="29"/>
      <c r="M291" s="13"/>
      <c r="N291" s="17"/>
      <c r="O291" s="17"/>
      <c r="P291" s="17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4"/>
      <c r="AF291" s="14"/>
    </row>
    <row r="292" spans="2:32" ht="13.5" hidden="1" customHeight="1">
      <c r="B292" s="13"/>
      <c r="C292" s="2"/>
      <c r="D292" s="13"/>
      <c r="E292" s="13"/>
      <c r="F292" s="13"/>
      <c r="G292" s="13"/>
      <c r="H292" s="13"/>
      <c r="I292" s="13" t="s">
        <v>64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4"/>
      <c r="AF292" s="14"/>
    </row>
    <row r="293" spans="2:32" ht="13.5" hidden="1" customHeight="1">
      <c r="B293" s="13"/>
      <c r="C293" s="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4"/>
      <c r="AF293" s="14"/>
    </row>
    <row r="294" spans="2:32" ht="13.5" hidden="1" customHeight="1">
      <c r="B294" s="13"/>
      <c r="C294" s="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4"/>
      <c r="AF294" s="14"/>
    </row>
    <row r="295" spans="2:32" ht="13.5" hidden="1" customHeight="1">
      <c r="B295" s="13"/>
      <c r="C295" s="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4"/>
      <c r="AF295" s="14"/>
    </row>
    <row r="296" spans="2:32" ht="13.5" hidden="1" customHeight="1">
      <c r="B296" s="13"/>
      <c r="C296" s="2"/>
      <c r="D296" s="13"/>
      <c r="E296" s="13"/>
      <c r="F296" s="13"/>
      <c r="G296" s="13"/>
      <c r="H296" s="13"/>
      <c r="I296" s="13"/>
      <c r="J296" s="13"/>
      <c r="K296" s="13"/>
      <c r="L296" s="13"/>
      <c r="M296" s="13" t="s">
        <v>88</v>
      </c>
      <c r="N296" s="30" t="s">
        <v>1</v>
      </c>
      <c r="O296" s="177" t="e">
        <f>#REF!</f>
        <v>#REF!</v>
      </c>
      <c r="P296" s="177"/>
      <c r="Q296" s="177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4"/>
      <c r="AF296" s="14"/>
    </row>
    <row r="297" spans="2:32" ht="13.5" hidden="1" customHeight="1">
      <c r="B297" s="13"/>
      <c r="C297" s="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30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4"/>
      <c r="AF297" s="14"/>
    </row>
    <row r="298" spans="2:32" ht="13.5" hidden="1" customHeight="1">
      <c r="B298" s="13"/>
      <c r="C298" s="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30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4"/>
      <c r="AF298" s="14"/>
    </row>
    <row r="299" spans="2:32" ht="13.5" hidden="1" customHeight="1">
      <c r="B299" s="13"/>
      <c r="C299" s="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4"/>
      <c r="AF299" s="14"/>
    </row>
    <row r="300" spans="2:32" ht="13.5" hidden="1" customHeight="1">
      <c r="B300" s="13"/>
      <c r="C300" s="2"/>
      <c r="D300" s="13"/>
      <c r="E300" s="13"/>
      <c r="F300" s="13"/>
      <c r="G300" s="13"/>
      <c r="H300" s="13"/>
      <c r="I300" s="13"/>
      <c r="J300" s="13"/>
      <c r="K300" s="13"/>
      <c r="L300" s="13"/>
      <c r="M300" s="13" t="s">
        <v>89</v>
      </c>
      <c r="N300" s="30" t="s">
        <v>1</v>
      </c>
      <c r="O300" s="13" t="s">
        <v>90</v>
      </c>
      <c r="P300" s="13"/>
      <c r="Q300" s="13"/>
      <c r="R300" s="13"/>
      <c r="S300" s="13"/>
      <c r="T300" s="13"/>
      <c r="U300" s="13"/>
      <c r="V300" s="177" t="e">
        <f>#REF!</f>
        <v>#REF!</v>
      </c>
      <c r="W300" s="177"/>
      <c r="X300" s="13"/>
      <c r="Y300" s="13"/>
      <c r="Z300" s="13"/>
      <c r="AA300" s="13"/>
      <c r="AB300" s="13"/>
      <c r="AC300" s="13"/>
      <c r="AD300" s="13"/>
      <c r="AE300" s="14"/>
      <c r="AF300" s="14"/>
    </row>
    <row r="301" spans="2:32" ht="13.5" hidden="1" customHeight="1">
      <c r="B301" s="13"/>
      <c r="C301" s="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4"/>
      <c r="AF301" s="14"/>
    </row>
    <row r="302" spans="2:32" ht="13.5" hidden="1" customHeight="1">
      <c r="B302" s="13"/>
      <c r="C302" s="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4"/>
      <c r="AF302" s="14"/>
    </row>
    <row r="303" spans="2:32" ht="13.5" hidden="1" customHeight="1">
      <c r="B303" s="13"/>
      <c r="C303" s="2"/>
      <c r="D303" s="13"/>
      <c r="E303" s="13"/>
      <c r="F303" s="13"/>
      <c r="G303" s="13"/>
      <c r="H303" s="13"/>
      <c r="I303" s="13"/>
      <c r="J303" s="13"/>
      <c r="K303" s="13"/>
      <c r="L303" s="13"/>
      <c r="M303" s="13" t="s">
        <v>94</v>
      </c>
      <c r="N303" s="30" t="s">
        <v>1</v>
      </c>
      <c r="O303" s="177" t="e">
        <f>#REF!</f>
        <v>#REF!</v>
      </c>
      <c r="P303" s="177"/>
      <c r="Q303" s="177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4"/>
      <c r="AF303" s="14"/>
    </row>
    <row r="304" spans="2:32" ht="13.5" hidden="1" customHeight="1">
      <c r="B304" s="13"/>
      <c r="C304" s="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4"/>
      <c r="AF304" s="14"/>
    </row>
    <row r="305" spans="2:32" ht="13.5" hidden="1" customHeight="1">
      <c r="B305" s="13"/>
      <c r="C305" s="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4"/>
      <c r="AF305" s="14"/>
    </row>
    <row r="306" spans="2:32" ht="13.5" hidden="1" customHeight="1">
      <c r="B306" s="13"/>
      <c r="C306" s="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4"/>
      <c r="AF306" s="14"/>
    </row>
    <row r="307" spans="2:32" ht="13.5" hidden="1" customHeight="1">
      <c r="B307" s="13"/>
      <c r="C307" s="2"/>
      <c r="D307" s="13"/>
      <c r="E307" s="13"/>
      <c r="F307" s="13"/>
      <c r="G307" s="13"/>
      <c r="H307" s="13"/>
      <c r="I307" s="13"/>
      <c r="J307" s="13"/>
      <c r="K307" s="13"/>
      <c r="L307" s="13"/>
      <c r="M307" s="13" t="s">
        <v>66</v>
      </c>
      <c r="N307" s="30" t="s">
        <v>1</v>
      </c>
      <c r="O307" s="177" t="e">
        <f>#REF!</f>
        <v>#REF!</v>
      </c>
      <c r="P307" s="177"/>
      <c r="Q307" s="177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4"/>
      <c r="AF307" s="14"/>
    </row>
    <row r="308" spans="2:32" ht="13.5" hidden="1" customHeight="1">
      <c r="B308" s="13"/>
      <c r="C308" s="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30"/>
      <c r="O308" s="40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4"/>
      <c r="AF308" s="14"/>
    </row>
    <row r="309" spans="2:32" ht="13.5" hidden="1" customHeight="1">
      <c r="B309" s="13"/>
      <c r="C309" s="2"/>
      <c r="D309" s="13"/>
      <c r="E309" s="13"/>
      <c r="F309" s="13"/>
      <c r="G309" s="13"/>
      <c r="H309" s="13"/>
      <c r="I309" s="13"/>
      <c r="J309" s="13"/>
      <c r="K309" s="13"/>
      <c r="L309" s="13"/>
      <c r="M309" s="13" t="s">
        <v>60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4"/>
      <c r="AF309" s="14"/>
    </row>
    <row r="310" spans="2:32" ht="13.5" hidden="1" customHeight="1">
      <c r="B310" s="13"/>
      <c r="C310" s="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4"/>
      <c r="AF310" s="14"/>
    </row>
    <row r="311" spans="2:32" ht="13.5" hidden="1" customHeight="1">
      <c r="B311" s="13"/>
      <c r="C311" s="2"/>
      <c r="D311" s="13"/>
      <c r="E311" s="13"/>
      <c r="F311" s="13"/>
      <c r="G311" s="13"/>
      <c r="H311" s="13"/>
      <c r="I311" s="13"/>
      <c r="J311" s="13"/>
      <c r="K311" s="13"/>
      <c r="L311" s="13"/>
      <c r="M311" s="13" t="s">
        <v>61</v>
      </c>
      <c r="N311" s="13"/>
      <c r="O311" s="13" t="s">
        <v>62</v>
      </c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4"/>
      <c r="AF311" s="14"/>
    </row>
    <row r="312" spans="2:32" ht="13.5" hidden="1" customHeight="1">
      <c r="B312" s="13"/>
      <c r="C312" s="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4"/>
      <c r="AF312" s="14"/>
    </row>
    <row r="313" spans="2:32" ht="13.5" hidden="1" customHeight="1">
      <c r="B313" s="13"/>
      <c r="C313" s="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4"/>
      <c r="AF313" s="14"/>
    </row>
    <row r="314" spans="2:32" s="11" customFormat="1" ht="13.5" hidden="1" customHeight="1">
      <c r="B314" s="9"/>
      <c r="C314" s="9"/>
      <c r="D314" s="9" t="s">
        <v>30</v>
      </c>
      <c r="E314" s="9"/>
      <c r="F314" s="9"/>
      <c r="G314" s="9"/>
      <c r="H314" s="9"/>
      <c r="I314" s="9"/>
      <c r="J314" s="28"/>
      <c r="K314" s="28"/>
      <c r="L314" s="28"/>
      <c r="M314" s="9"/>
      <c r="N314" s="16"/>
      <c r="O314" s="16"/>
      <c r="P314" s="16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10"/>
    </row>
    <row r="315" spans="2:32" s="11" customFormat="1" ht="13.5" hidden="1" customHeight="1">
      <c r="B315" s="9"/>
      <c r="C315" s="3"/>
      <c r="D315" s="9" t="s">
        <v>76</v>
      </c>
      <c r="E315" s="9"/>
      <c r="F315" s="9"/>
      <c r="G315" s="9"/>
      <c r="H315" s="185">
        <v>2</v>
      </c>
      <c r="I315" s="185"/>
      <c r="J315" s="9" t="s">
        <v>144</v>
      </c>
      <c r="K315" s="28"/>
      <c r="L315" s="28"/>
      <c r="M315" s="9"/>
      <c r="N315" s="16"/>
      <c r="O315" s="16"/>
      <c r="P315" s="16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10"/>
      <c r="AF315" s="10"/>
    </row>
    <row r="316" spans="2:32" s="11" customFormat="1" ht="13.5" hidden="1" customHeight="1">
      <c r="B316" s="9"/>
      <c r="C316" s="3"/>
      <c r="D316" s="9" t="s">
        <v>158</v>
      </c>
      <c r="E316" s="9"/>
      <c r="F316" s="9"/>
      <c r="G316" s="9"/>
      <c r="H316" s="9"/>
      <c r="I316" s="9"/>
      <c r="J316" s="28"/>
      <c r="K316" s="32" t="s">
        <v>1</v>
      </c>
      <c r="L316" s="204">
        <v>5</v>
      </c>
      <c r="M316" s="204"/>
      <c r="N316" s="204"/>
      <c r="O316" s="33" t="s">
        <v>77</v>
      </c>
      <c r="P316" s="16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10"/>
    </row>
    <row r="317" spans="2:32" ht="13.5" hidden="1" customHeight="1">
      <c r="B317" s="13"/>
      <c r="C317" s="2"/>
      <c r="D317" s="13"/>
      <c r="E317" s="13"/>
      <c r="F317" s="13"/>
      <c r="G317" s="13"/>
      <c r="H317" s="13"/>
      <c r="I317" s="13"/>
      <c r="J317" s="29"/>
      <c r="K317" s="29"/>
      <c r="L317" s="6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4"/>
      <c r="AF317" s="14"/>
    </row>
    <row r="318" spans="2:32" ht="13.5" hidden="1" customHeight="1">
      <c r="B318" s="13"/>
      <c r="C318" s="2"/>
      <c r="D318" s="13"/>
      <c r="E318" s="13"/>
      <c r="F318" s="113" t="s">
        <v>163</v>
      </c>
      <c r="G318" s="113"/>
      <c r="H318" s="113"/>
      <c r="I318" s="113"/>
      <c r="J318" s="113"/>
      <c r="K318" s="113"/>
      <c r="L318" s="113"/>
      <c r="M318" s="173" t="s">
        <v>1</v>
      </c>
      <c r="N318" s="146" t="s">
        <v>159</v>
      </c>
      <c r="O318" s="146"/>
      <c r="P318" s="146"/>
      <c r="Q318" s="146"/>
      <c r="R318" s="146"/>
      <c r="S318" s="146"/>
      <c r="T318" s="146"/>
      <c r="U318" s="146"/>
      <c r="V318" s="113" t="s">
        <v>162</v>
      </c>
      <c r="W318" s="113"/>
      <c r="X318" s="113"/>
      <c r="Y318" s="113"/>
      <c r="Z318" s="113"/>
      <c r="AA318" s="113"/>
      <c r="AB318" s="113"/>
      <c r="AC318" s="13"/>
      <c r="AD318" s="13"/>
      <c r="AE318" s="14"/>
      <c r="AF318" s="14"/>
    </row>
    <row r="319" spans="2:32" ht="13.5" hidden="1" customHeight="1">
      <c r="B319" s="13"/>
      <c r="C319" s="2"/>
      <c r="D319" s="13"/>
      <c r="E319" s="13"/>
      <c r="F319" s="113"/>
      <c r="G319" s="113"/>
      <c r="H319" s="113"/>
      <c r="I319" s="113"/>
      <c r="J319" s="113"/>
      <c r="K319" s="113"/>
      <c r="L319" s="113"/>
      <c r="M319" s="113"/>
      <c r="N319" s="126" t="s">
        <v>160</v>
      </c>
      <c r="O319" s="126"/>
      <c r="P319" s="126"/>
      <c r="Q319" s="126"/>
      <c r="R319" s="126"/>
      <c r="S319" s="126"/>
      <c r="T319" s="126"/>
      <c r="U319" s="126"/>
      <c r="V319" s="113"/>
      <c r="W319" s="113"/>
      <c r="X319" s="113"/>
      <c r="Y319" s="113"/>
      <c r="Z319" s="113"/>
      <c r="AA319" s="113"/>
      <c r="AB319" s="113"/>
      <c r="AC319" s="13"/>
      <c r="AD319" s="13"/>
      <c r="AE319" s="14"/>
      <c r="AF319" s="14"/>
    </row>
    <row r="320" spans="2:32" ht="13.5" hidden="1" customHeight="1">
      <c r="B320" s="13"/>
      <c r="C320" s="2"/>
      <c r="D320" s="13"/>
      <c r="E320" s="13"/>
      <c r="F320" s="13"/>
      <c r="G320" s="13"/>
      <c r="H320" s="13"/>
      <c r="I320" s="13"/>
      <c r="J320" s="29"/>
      <c r="K320" s="29"/>
      <c r="L320" s="6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4"/>
      <c r="AF320" s="14"/>
    </row>
    <row r="321" spans="2:32" ht="13.5" hidden="1" customHeight="1">
      <c r="B321" s="13"/>
      <c r="C321" s="2"/>
      <c r="D321" s="13"/>
      <c r="E321" s="13"/>
      <c r="F321" s="113" t="s">
        <v>163</v>
      </c>
      <c r="G321" s="113"/>
      <c r="H321" s="113"/>
      <c r="I321" s="113"/>
      <c r="J321" s="113"/>
      <c r="K321" s="113"/>
      <c r="L321" s="113"/>
      <c r="M321" s="173" t="s">
        <v>1</v>
      </c>
      <c r="N321" s="174" t="e">
        <f>#REF!</f>
        <v>#REF!</v>
      </c>
      <c r="O321" s="174"/>
      <c r="P321" s="174"/>
      <c r="Q321" s="174"/>
      <c r="R321" s="174"/>
      <c r="S321" s="174"/>
      <c r="T321" s="174"/>
      <c r="U321" s="174"/>
      <c r="V321" s="176">
        <f>L316/1000</f>
        <v>5.0000000000000001E-3</v>
      </c>
      <c r="W321" s="176"/>
      <c r="X321" s="176"/>
      <c r="Y321" s="13"/>
      <c r="Z321" s="13"/>
      <c r="AA321" s="13"/>
      <c r="AB321" s="13"/>
      <c r="AC321" s="13"/>
      <c r="AD321" s="13"/>
      <c r="AE321" s="14"/>
      <c r="AF321" s="14"/>
    </row>
    <row r="322" spans="2:32" ht="13.5" hidden="1" customHeight="1">
      <c r="B322" s="13"/>
      <c r="C322" s="2"/>
      <c r="D322" s="13"/>
      <c r="E322" s="13"/>
      <c r="F322" s="113"/>
      <c r="G322" s="113"/>
      <c r="H322" s="113"/>
      <c r="I322" s="113"/>
      <c r="J322" s="113"/>
      <c r="K322" s="113"/>
      <c r="L322" s="113"/>
      <c r="M322" s="113"/>
      <c r="N322" s="196">
        <f>H315</f>
        <v>2</v>
      </c>
      <c r="O322" s="196"/>
      <c r="P322" s="196"/>
      <c r="Q322" s="196"/>
      <c r="R322" s="196"/>
      <c r="S322" s="196"/>
      <c r="T322" s="196"/>
      <c r="U322" s="196"/>
      <c r="V322" s="176"/>
      <c r="W322" s="176"/>
      <c r="X322" s="176"/>
      <c r="Y322" s="13"/>
      <c r="Z322" s="13"/>
      <c r="AA322" s="13"/>
      <c r="AB322" s="13"/>
      <c r="AC322" s="13"/>
      <c r="AD322" s="13"/>
      <c r="AE322" s="14"/>
      <c r="AF322" s="14"/>
    </row>
    <row r="323" spans="2:32" ht="13.5" hidden="1" customHeight="1">
      <c r="B323" s="13"/>
      <c r="C323" s="2"/>
      <c r="D323" s="13"/>
      <c r="E323" s="13"/>
      <c r="F323" s="13"/>
      <c r="G323" s="13"/>
      <c r="H323" s="13"/>
      <c r="I323" s="13"/>
      <c r="J323" s="29"/>
      <c r="K323" s="29"/>
      <c r="L323" s="6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4"/>
      <c r="AF323" s="14"/>
    </row>
    <row r="324" spans="2:32" ht="13.5" hidden="1" customHeight="1">
      <c r="B324" s="13"/>
      <c r="C324" s="2"/>
      <c r="D324" s="13"/>
      <c r="E324" s="13"/>
      <c r="F324" s="113" t="s">
        <v>163</v>
      </c>
      <c r="G324" s="113"/>
      <c r="H324" s="113"/>
      <c r="I324" s="113"/>
      <c r="J324" s="113"/>
      <c r="K324" s="113"/>
      <c r="L324" s="113"/>
      <c r="M324" s="173" t="s">
        <v>1</v>
      </c>
      <c r="N324" s="176" t="e">
        <f>(N321/N322)*V321</f>
        <v>#REF!</v>
      </c>
      <c r="O324" s="176"/>
      <c r="P324" s="176"/>
      <c r="Q324" s="13"/>
      <c r="R324" s="113" t="s">
        <v>78</v>
      </c>
      <c r="S324" s="113"/>
      <c r="T324" s="1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4"/>
      <c r="AF324" s="14"/>
    </row>
    <row r="325" spans="2:32" ht="13.5" hidden="1" customHeight="1">
      <c r="B325" s="13"/>
      <c r="C325" s="2"/>
      <c r="D325" s="13"/>
      <c r="E325" s="13"/>
      <c r="F325" s="113"/>
      <c r="G325" s="113"/>
      <c r="H325" s="113"/>
      <c r="I325" s="113"/>
      <c r="J325" s="113"/>
      <c r="K325" s="113"/>
      <c r="L325" s="113"/>
      <c r="M325" s="113"/>
      <c r="N325" s="176"/>
      <c r="O325" s="176"/>
      <c r="P325" s="176"/>
      <c r="Q325" s="13"/>
      <c r="R325" s="113"/>
      <c r="S325" s="113"/>
      <c r="T325" s="1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4"/>
      <c r="AF325" s="14"/>
    </row>
    <row r="326" spans="2:32" ht="13.5" hidden="1" customHeight="1">
      <c r="B326" s="13"/>
      <c r="C326" s="2"/>
      <c r="D326" s="13"/>
      <c r="E326" s="13"/>
      <c r="F326" s="13"/>
      <c r="G326" s="13"/>
      <c r="H326" s="13"/>
      <c r="I326" s="13"/>
      <c r="J326" s="29"/>
      <c r="K326" s="29"/>
      <c r="L326" s="6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4"/>
      <c r="AF326" s="14"/>
    </row>
    <row r="327" spans="2:32" ht="13.5" hidden="1" customHeight="1">
      <c r="B327" s="13"/>
      <c r="C327" s="2"/>
      <c r="D327" s="13"/>
      <c r="E327" s="13"/>
      <c r="F327" s="13"/>
      <c r="G327" s="13"/>
      <c r="H327" s="13"/>
      <c r="I327" s="13"/>
      <c r="J327" s="29"/>
      <c r="K327" s="29"/>
      <c r="L327" s="6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4"/>
      <c r="AF327" s="14"/>
    </row>
    <row r="328" spans="2:32" ht="13.5" hidden="1" customHeight="1">
      <c r="B328" s="13"/>
      <c r="C328" s="2"/>
      <c r="D328" s="13"/>
      <c r="E328" s="13"/>
      <c r="F328" s="113" t="s">
        <v>164</v>
      </c>
      <c r="G328" s="113"/>
      <c r="H328" s="113"/>
      <c r="I328" s="113"/>
      <c r="J328" s="113"/>
      <c r="K328" s="113"/>
      <c r="L328" s="113"/>
      <c r="M328" s="173" t="s">
        <v>1</v>
      </c>
      <c r="N328" s="146" t="s">
        <v>161</v>
      </c>
      <c r="O328" s="146"/>
      <c r="P328" s="146"/>
      <c r="Q328" s="146"/>
      <c r="R328" s="146"/>
      <c r="S328" s="146"/>
      <c r="T328" s="146"/>
      <c r="U328" s="146"/>
      <c r="V328" s="113" t="s">
        <v>162</v>
      </c>
      <c r="W328" s="113"/>
      <c r="X328" s="113"/>
      <c r="Y328" s="113"/>
      <c r="Z328" s="113"/>
      <c r="AA328" s="113"/>
      <c r="AB328" s="113"/>
      <c r="AC328" s="13"/>
      <c r="AD328" s="13"/>
      <c r="AE328" s="14"/>
      <c r="AF328" s="14"/>
    </row>
    <row r="329" spans="2:32" ht="13.5" hidden="1" customHeight="1">
      <c r="B329" s="13"/>
      <c r="C329" s="2"/>
      <c r="D329" s="13"/>
      <c r="E329" s="13"/>
      <c r="F329" s="113"/>
      <c r="G329" s="113"/>
      <c r="H329" s="113"/>
      <c r="I329" s="113"/>
      <c r="J329" s="113"/>
      <c r="K329" s="113"/>
      <c r="L329" s="113"/>
      <c r="M329" s="113"/>
      <c r="N329" s="126" t="s">
        <v>160</v>
      </c>
      <c r="O329" s="126"/>
      <c r="P329" s="126"/>
      <c r="Q329" s="126"/>
      <c r="R329" s="126"/>
      <c r="S329" s="126"/>
      <c r="T329" s="126"/>
      <c r="U329" s="126"/>
      <c r="V329" s="113"/>
      <c r="W329" s="113"/>
      <c r="X329" s="113"/>
      <c r="Y329" s="113"/>
      <c r="Z329" s="113"/>
      <c r="AA329" s="113"/>
      <c r="AB329" s="113"/>
      <c r="AC329" s="13"/>
      <c r="AD329" s="13"/>
      <c r="AE329" s="14"/>
      <c r="AF329" s="14"/>
    </row>
    <row r="330" spans="2:32" ht="13.5" hidden="1" customHeight="1">
      <c r="B330" s="13"/>
      <c r="C330" s="2"/>
      <c r="D330" s="13"/>
      <c r="E330" s="13"/>
      <c r="F330" s="13"/>
      <c r="G330" s="13"/>
      <c r="H330" s="13"/>
      <c r="I330" s="13"/>
      <c r="J330" s="29"/>
      <c r="K330" s="29"/>
      <c r="L330" s="6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4"/>
      <c r="AF330" s="14"/>
    </row>
    <row r="331" spans="2:32" ht="13.5" hidden="1" customHeight="1">
      <c r="B331" s="13"/>
      <c r="C331" s="2"/>
      <c r="D331" s="13"/>
      <c r="E331" s="13"/>
      <c r="F331" s="113" t="s">
        <v>164</v>
      </c>
      <c r="G331" s="113"/>
      <c r="H331" s="113"/>
      <c r="I331" s="113"/>
      <c r="J331" s="113"/>
      <c r="K331" s="113"/>
      <c r="L331" s="113"/>
      <c r="M331" s="173" t="s">
        <v>1</v>
      </c>
      <c r="N331" s="174" t="e">
        <f>#REF!</f>
        <v>#REF!</v>
      </c>
      <c r="O331" s="174"/>
      <c r="P331" s="174"/>
      <c r="Q331" s="174"/>
      <c r="R331" s="174"/>
      <c r="S331" s="174"/>
      <c r="T331" s="174"/>
      <c r="U331" s="174"/>
      <c r="V331" s="176">
        <f>L316/1000</f>
        <v>5.0000000000000001E-3</v>
      </c>
      <c r="W331" s="176"/>
      <c r="X331" s="176"/>
      <c r="Y331" s="13"/>
      <c r="Z331" s="13"/>
      <c r="AA331" s="13"/>
      <c r="AB331" s="13"/>
      <c r="AC331" s="13"/>
      <c r="AD331" s="13"/>
      <c r="AE331" s="14"/>
      <c r="AF331" s="14"/>
    </row>
    <row r="332" spans="2:32" ht="13.5" hidden="1" customHeight="1">
      <c r="B332" s="13"/>
      <c r="C332" s="2"/>
      <c r="D332" s="13"/>
      <c r="E332" s="13"/>
      <c r="F332" s="113"/>
      <c r="G332" s="113"/>
      <c r="H332" s="113"/>
      <c r="I332" s="113"/>
      <c r="J332" s="113"/>
      <c r="K332" s="113"/>
      <c r="L332" s="113"/>
      <c r="M332" s="113"/>
      <c r="N332" s="196">
        <f>H315</f>
        <v>2</v>
      </c>
      <c r="O332" s="196"/>
      <c r="P332" s="196"/>
      <c r="Q332" s="196"/>
      <c r="R332" s="196"/>
      <c r="S332" s="196"/>
      <c r="T332" s="196"/>
      <c r="U332" s="196"/>
      <c r="V332" s="176"/>
      <c r="W332" s="176"/>
      <c r="X332" s="176"/>
      <c r="Y332" s="13"/>
      <c r="Z332" s="13"/>
      <c r="AA332" s="13"/>
      <c r="AB332" s="13"/>
      <c r="AC332" s="13"/>
      <c r="AD332" s="13"/>
      <c r="AE332" s="14"/>
      <c r="AF332" s="14"/>
    </row>
    <row r="333" spans="2:32" ht="13.5" hidden="1" customHeight="1">
      <c r="B333" s="13"/>
      <c r="C333" s="2"/>
      <c r="D333" s="13"/>
      <c r="E333" s="13"/>
      <c r="F333" s="13"/>
      <c r="G333" s="13"/>
      <c r="H333" s="13"/>
      <c r="I333" s="13"/>
      <c r="J333" s="29"/>
      <c r="K333" s="29"/>
      <c r="L333" s="6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4"/>
      <c r="AF333" s="14"/>
    </row>
    <row r="334" spans="2:32" ht="13.5" hidden="1" customHeight="1">
      <c r="B334" s="13"/>
      <c r="C334" s="2"/>
      <c r="D334" s="13"/>
      <c r="E334" s="13"/>
      <c r="F334" s="113" t="s">
        <v>164</v>
      </c>
      <c r="G334" s="113"/>
      <c r="H334" s="113"/>
      <c r="I334" s="113"/>
      <c r="J334" s="113"/>
      <c r="K334" s="113"/>
      <c r="L334" s="113"/>
      <c r="M334" s="173" t="s">
        <v>1</v>
      </c>
      <c r="N334" s="176" t="e">
        <f>(N331/N332)*V331</f>
        <v>#REF!</v>
      </c>
      <c r="O334" s="176"/>
      <c r="P334" s="176"/>
      <c r="Q334" s="13"/>
      <c r="R334" s="113" t="s">
        <v>78</v>
      </c>
      <c r="S334" s="113"/>
      <c r="T334" s="1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4"/>
      <c r="AF334" s="14"/>
    </row>
    <row r="335" spans="2:32" ht="13.5" hidden="1" customHeight="1">
      <c r="B335" s="13"/>
      <c r="C335" s="2"/>
      <c r="D335" s="13"/>
      <c r="E335" s="13"/>
      <c r="F335" s="113"/>
      <c r="G335" s="113"/>
      <c r="H335" s="113"/>
      <c r="I335" s="113"/>
      <c r="J335" s="113"/>
      <c r="K335" s="113"/>
      <c r="L335" s="113"/>
      <c r="M335" s="113"/>
      <c r="N335" s="176"/>
      <c r="O335" s="176"/>
      <c r="P335" s="176"/>
      <c r="Q335" s="13"/>
      <c r="R335" s="113"/>
      <c r="S335" s="113"/>
      <c r="T335" s="1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4"/>
      <c r="AF335" s="14"/>
    </row>
    <row r="336" spans="2:32" ht="13.5" hidden="1" customHeight="1">
      <c r="B336" s="21"/>
      <c r="C336" s="34"/>
      <c r="D336" s="21"/>
      <c r="E336" s="21"/>
      <c r="F336" s="21"/>
      <c r="G336" s="21"/>
      <c r="H336" s="21"/>
      <c r="I336" s="21"/>
      <c r="J336" s="35"/>
      <c r="K336" s="35"/>
      <c r="L336" s="22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3"/>
      <c r="AF336" s="14"/>
    </row>
    <row r="337" spans="2:32" ht="13.5" hidden="1" customHeight="1">
      <c r="B337" s="13"/>
      <c r="C337" s="2"/>
      <c r="D337" s="13"/>
      <c r="E337" s="13"/>
      <c r="F337" s="13"/>
      <c r="G337" s="13"/>
      <c r="H337" s="13"/>
      <c r="I337" s="13"/>
      <c r="J337" s="29"/>
      <c r="K337" s="29"/>
      <c r="L337" s="6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4"/>
      <c r="AF337" s="14"/>
    </row>
    <row r="338" spans="2:32" s="11" customFormat="1" ht="13.5" hidden="1" customHeight="1">
      <c r="B338" s="9"/>
      <c r="C338" s="3"/>
      <c r="D338" s="9"/>
      <c r="E338" s="9"/>
      <c r="F338" s="9" t="s">
        <v>21</v>
      </c>
      <c r="G338" s="9" t="s">
        <v>79</v>
      </c>
      <c r="H338" s="9"/>
      <c r="I338" s="9"/>
      <c r="J338" s="28"/>
      <c r="K338" s="28"/>
      <c r="L338" s="7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10"/>
    </row>
    <row r="339" spans="2:32" ht="13.5" hidden="1" customHeight="1">
      <c r="B339" s="13"/>
      <c r="C339" s="2"/>
      <c r="D339" s="13"/>
      <c r="E339" s="13"/>
      <c r="F339" s="13"/>
      <c r="G339" s="13"/>
      <c r="H339" s="13"/>
      <c r="I339" s="13"/>
      <c r="J339" s="29"/>
      <c r="K339" s="29"/>
      <c r="L339" s="6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4"/>
      <c r="AF339" s="14"/>
    </row>
    <row r="340" spans="2:32" ht="13.5" hidden="1" customHeight="1">
      <c r="B340" s="13"/>
      <c r="C340" s="2"/>
      <c r="D340" s="13"/>
      <c r="E340" s="13"/>
      <c r="F340" s="13"/>
      <c r="G340" s="13"/>
      <c r="H340" s="13"/>
      <c r="I340" s="13"/>
      <c r="J340" s="113" t="s">
        <v>60</v>
      </c>
      <c r="K340" s="113"/>
      <c r="L340" s="113"/>
      <c r="M340" s="173" t="s">
        <v>1</v>
      </c>
      <c r="N340" s="197" t="s">
        <v>95</v>
      </c>
      <c r="O340" s="198"/>
      <c r="P340" s="198"/>
      <c r="Q340" s="208" t="s">
        <v>8</v>
      </c>
      <c r="R340" s="198"/>
      <c r="S340" s="198" t="s">
        <v>96</v>
      </c>
      <c r="T340" s="198"/>
      <c r="U340" s="198"/>
      <c r="V340" s="13"/>
      <c r="W340" s="13"/>
      <c r="X340" s="13"/>
      <c r="Y340" s="13"/>
      <c r="Z340" s="13"/>
      <c r="AA340" s="13"/>
      <c r="AB340" s="13"/>
      <c r="AC340" s="13"/>
      <c r="AD340" s="13"/>
      <c r="AE340" s="14"/>
      <c r="AF340" s="14"/>
    </row>
    <row r="341" spans="2:32" ht="13.5" hidden="1" customHeight="1">
      <c r="B341" s="13"/>
      <c r="C341" s="2"/>
      <c r="D341" s="13"/>
      <c r="E341" s="13"/>
      <c r="F341" s="13"/>
      <c r="G341" s="13"/>
      <c r="H341" s="13"/>
      <c r="I341" s="13"/>
      <c r="J341" s="113"/>
      <c r="K341" s="113"/>
      <c r="L341" s="113"/>
      <c r="M341" s="113"/>
      <c r="N341" s="199"/>
      <c r="O341" s="113"/>
      <c r="P341" s="113"/>
      <c r="Q341" s="113"/>
      <c r="R341" s="113"/>
      <c r="S341" s="113"/>
      <c r="T341" s="113"/>
      <c r="U341" s="113"/>
      <c r="V341" s="13"/>
      <c r="W341" s="13"/>
      <c r="X341" s="13"/>
      <c r="Y341" s="13"/>
      <c r="Z341" s="13"/>
      <c r="AA341" s="13"/>
      <c r="AB341" s="13"/>
      <c r="AC341" s="13"/>
      <c r="AD341" s="13"/>
      <c r="AE341" s="14"/>
      <c r="AF341" s="14"/>
    </row>
    <row r="342" spans="2:32" ht="13.5" hidden="1" customHeight="1">
      <c r="B342" s="13"/>
      <c r="C342" s="2"/>
      <c r="D342" s="13"/>
      <c r="E342" s="13"/>
      <c r="F342" s="13"/>
      <c r="G342" s="13"/>
      <c r="H342" s="13"/>
      <c r="I342" s="13"/>
      <c r="J342" s="29"/>
      <c r="K342" s="29"/>
      <c r="L342" s="6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4"/>
      <c r="AF342" s="14"/>
    </row>
    <row r="343" spans="2:32" ht="13.5" hidden="1" customHeight="1">
      <c r="B343" s="13"/>
      <c r="C343" s="2"/>
      <c r="D343" s="13"/>
      <c r="E343" s="13"/>
      <c r="F343" s="13"/>
      <c r="G343" s="13"/>
      <c r="H343" s="13"/>
      <c r="I343" s="13"/>
      <c r="J343" s="113" t="s">
        <v>60</v>
      </c>
      <c r="K343" s="113"/>
      <c r="L343" s="113"/>
      <c r="M343" s="173" t="s">
        <v>1</v>
      </c>
      <c r="N343" s="206" t="e">
        <f>N324*N324</f>
        <v>#REF!</v>
      </c>
      <c r="O343" s="195"/>
      <c r="P343" s="195"/>
      <c r="Q343" s="208" t="s">
        <v>8</v>
      </c>
      <c r="R343" s="198"/>
      <c r="S343" s="195" t="e">
        <f>N334*N334</f>
        <v>#REF!</v>
      </c>
      <c r="T343" s="195"/>
      <c r="U343" s="195"/>
      <c r="V343" s="13"/>
      <c r="W343" s="13"/>
      <c r="X343" s="13"/>
      <c r="Y343" s="13"/>
      <c r="Z343" s="13"/>
      <c r="AA343" s="13"/>
      <c r="AB343" s="13"/>
      <c r="AC343" s="13"/>
      <c r="AD343" s="13"/>
      <c r="AE343" s="14"/>
      <c r="AF343" s="14"/>
    </row>
    <row r="344" spans="2:32" ht="13.5" hidden="1" customHeight="1">
      <c r="B344" s="13"/>
      <c r="C344" s="2"/>
      <c r="D344" s="13"/>
      <c r="E344" s="13"/>
      <c r="F344" s="13"/>
      <c r="G344" s="13"/>
      <c r="H344" s="13"/>
      <c r="I344" s="13"/>
      <c r="J344" s="113"/>
      <c r="K344" s="113"/>
      <c r="L344" s="113"/>
      <c r="M344" s="113"/>
      <c r="N344" s="207"/>
      <c r="O344" s="176"/>
      <c r="P344" s="176"/>
      <c r="Q344" s="113"/>
      <c r="R344" s="113"/>
      <c r="S344" s="176"/>
      <c r="T344" s="176"/>
      <c r="U344" s="176"/>
      <c r="V344" s="13"/>
      <c r="W344" s="13"/>
      <c r="X344" s="13"/>
      <c r="Y344" s="13"/>
      <c r="Z344" s="13"/>
      <c r="AA344" s="13"/>
      <c r="AB344" s="13"/>
      <c r="AC344" s="13"/>
      <c r="AD344" s="13"/>
      <c r="AE344" s="14"/>
      <c r="AF344" s="14"/>
    </row>
    <row r="345" spans="2:32" ht="13.5" hidden="1" customHeight="1">
      <c r="B345" s="13"/>
      <c r="C345" s="2"/>
      <c r="D345" s="13"/>
      <c r="E345" s="13"/>
      <c r="F345" s="13"/>
      <c r="G345" s="13"/>
      <c r="H345" s="13"/>
      <c r="I345" s="13"/>
      <c r="J345" s="29"/>
      <c r="K345" s="29"/>
      <c r="L345" s="6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4"/>
      <c r="AF345" s="14"/>
    </row>
    <row r="346" spans="2:32" ht="13.5" hidden="1" customHeight="1">
      <c r="B346" s="13"/>
      <c r="C346" s="2"/>
      <c r="D346" s="13"/>
      <c r="E346" s="13"/>
      <c r="F346" s="13"/>
      <c r="G346" s="13"/>
      <c r="H346" s="13"/>
      <c r="I346" s="13"/>
      <c r="J346" s="113" t="s">
        <v>60</v>
      </c>
      <c r="K346" s="113"/>
      <c r="L346" s="113"/>
      <c r="M346" s="173" t="s">
        <v>1</v>
      </c>
      <c r="N346" s="176" t="e">
        <f>SQRT(N343+S343)</f>
        <v>#REF!</v>
      </c>
      <c r="O346" s="176"/>
      <c r="P346" s="176"/>
      <c r="Q346" s="176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4"/>
      <c r="AF346" s="14"/>
    </row>
    <row r="347" spans="2:32" ht="13.5" hidden="1" customHeight="1">
      <c r="B347" s="13"/>
      <c r="C347" s="2"/>
      <c r="D347" s="13"/>
      <c r="E347" s="13"/>
      <c r="F347" s="13"/>
      <c r="G347" s="13"/>
      <c r="H347" s="13"/>
      <c r="I347" s="13"/>
      <c r="J347" s="113"/>
      <c r="K347" s="113"/>
      <c r="L347" s="113"/>
      <c r="M347" s="113"/>
      <c r="N347" s="176"/>
      <c r="O347" s="176"/>
      <c r="P347" s="176"/>
      <c r="Q347" s="176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4"/>
      <c r="AF347" s="14"/>
    </row>
    <row r="348" spans="2:32" ht="13.5" hidden="1" customHeight="1">
      <c r="B348" s="13"/>
      <c r="C348" s="2"/>
      <c r="D348" s="13"/>
      <c r="E348" s="13"/>
      <c r="F348" s="13"/>
      <c r="G348" s="13"/>
      <c r="H348" s="13"/>
      <c r="I348" s="13"/>
      <c r="J348" s="29"/>
      <c r="K348" s="29"/>
      <c r="L348" s="6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4"/>
      <c r="AF348" s="14"/>
    </row>
    <row r="349" spans="2:32" s="11" customFormat="1" ht="13.5" hidden="1" customHeight="1">
      <c r="B349" s="9"/>
      <c r="C349" s="3"/>
      <c r="D349" s="9"/>
      <c r="E349" s="9"/>
      <c r="F349" s="9" t="s">
        <v>22</v>
      </c>
      <c r="G349" s="9" t="s">
        <v>139</v>
      </c>
      <c r="H349" s="9"/>
      <c r="I349" s="9"/>
      <c r="J349" s="28"/>
      <c r="K349" s="28"/>
      <c r="L349" s="7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10"/>
    </row>
    <row r="350" spans="2:32" ht="13.5" hidden="1" customHeight="1">
      <c r="B350" s="13"/>
      <c r="C350" s="2"/>
      <c r="D350" s="13"/>
      <c r="E350" s="13"/>
      <c r="F350" s="13"/>
      <c r="G350" s="13"/>
      <c r="H350" s="13"/>
      <c r="I350" s="13"/>
      <c r="J350" s="29"/>
      <c r="K350" s="29"/>
      <c r="L350" s="6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4"/>
      <c r="AF350" s="14"/>
    </row>
    <row r="351" spans="2:32" ht="13.5" hidden="1" customHeight="1">
      <c r="B351" s="13"/>
      <c r="C351" s="2"/>
      <c r="D351" s="13"/>
      <c r="E351" s="13"/>
      <c r="F351" s="13"/>
      <c r="G351" s="13"/>
      <c r="H351" s="13"/>
      <c r="I351" s="13"/>
      <c r="J351" s="29"/>
      <c r="K351" s="205" t="s">
        <v>97</v>
      </c>
      <c r="L351" s="205"/>
      <c r="M351" s="173" t="s">
        <v>1</v>
      </c>
      <c r="N351" s="146" t="s">
        <v>80</v>
      </c>
      <c r="O351" s="146"/>
      <c r="P351" s="146"/>
      <c r="Q351" s="146"/>
      <c r="R351" s="146" t="s">
        <v>73</v>
      </c>
      <c r="S351" s="146"/>
      <c r="T351" s="146" t="s">
        <v>81</v>
      </c>
      <c r="U351" s="146"/>
      <c r="V351" s="146"/>
      <c r="W351" s="13"/>
      <c r="X351" s="13"/>
      <c r="Y351" s="13"/>
      <c r="Z351" s="13"/>
      <c r="AA351" s="13"/>
      <c r="AB351" s="13"/>
      <c r="AC351" s="13"/>
      <c r="AD351" s="13"/>
      <c r="AE351" s="14"/>
      <c r="AF351" s="14"/>
    </row>
    <row r="352" spans="2:32" ht="13.5" hidden="1" customHeight="1">
      <c r="B352" s="13"/>
      <c r="C352" s="2"/>
      <c r="D352" s="13"/>
      <c r="E352" s="13"/>
      <c r="F352" s="13"/>
      <c r="G352" s="13"/>
      <c r="H352" s="13"/>
      <c r="I352" s="13"/>
      <c r="J352" s="29"/>
      <c r="K352" s="205"/>
      <c r="L352" s="205"/>
      <c r="M352" s="113"/>
      <c r="N352" s="126" t="s">
        <v>98</v>
      </c>
      <c r="O352" s="126"/>
      <c r="P352" s="126"/>
      <c r="Q352" s="126"/>
      <c r="R352" s="126" t="s">
        <v>73</v>
      </c>
      <c r="S352" s="126"/>
      <c r="T352" s="126">
        <v>1000</v>
      </c>
      <c r="U352" s="126"/>
      <c r="V352" s="126"/>
      <c r="W352" s="13"/>
      <c r="X352" s="13"/>
      <c r="Y352" s="13"/>
      <c r="Z352" s="13"/>
      <c r="AA352" s="13"/>
      <c r="AB352" s="13"/>
      <c r="AC352" s="13"/>
      <c r="AD352" s="13"/>
      <c r="AE352" s="14"/>
      <c r="AF352" s="14"/>
    </row>
    <row r="353" spans="2:32" ht="13.5" hidden="1" customHeight="1">
      <c r="B353" s="13"/>
      <c r="C353" s="2"/>
      <c r="D353" s="13"/>
      <c r="E353" s="13"/>
      <c r="F353" s="13"/>
      <c r="G353" s="13"/>
      <c r="H353" s="13"/>
      <c r="I353" s="13"/>
      <c r="J353" s="29"/>
      <c r="K353" s="29"/>
      <c r="L353" s="6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4"/>
      <c r="AF353" s="14"/>
    </row>
    <row r="354" spans="2:32" ht="13.5" hidden="1" customHeight="1">
      <c r="B354" s="13"/>
      <c r="C354" s="2"/>
      <c r="D354" s="13"/>
      <c r="E354" s="13"/>
      <c r="F354" s="13"/>
      <c r="G354" s="13"/>
      <c r="H354" s="13"/>
      <c r="I354" s="13"/>
      <c r="J354" s="29"/>
      <c r="K354" s="205" t="s">
        <v>97</v>
      </c>
      <c r="L354" s="205"/>
      <c r="M354" s="173" t="s">
        <v>1</v>
      </c>
      <c r="N354" s="174" t="e">
        <f>N324</f>
        <v>#REF!</v>
      </c>
      <c r="O354" s="174"/>
      <c r="P354" s="174"/>
      <c r="Q354" s="146" t="s">
        <v>73</v>
      </c>
      <c r="R354" s="146"/>
      <c r="S354" s="174" t="e">
        <f>#REF!</f>
        <v>#REF!</v>
      </c>
      <c r="T354" s="174"/>
      <c r="U354" s="174"/>
      <c r="V354" s="13"/>
      <c r="W354" s="13"/>
      <c r="X354" s="13"/>
      <c r="Y354" s="13"/>
      <c r="Z354" s="13"/>
      <c r="AA354" s="13"/>
      <c r="AB354" s="13"/>
      <c r="AC354" s="13"/>
      <c r="AD354" s="13"/>
      <c r="AE354" s="14"/>
      <c r="AF354" s="14"/>
    </row>
    <row r="355" spans="2:32" ht="13.5" hidden="1" customHeight="1">
      <c r="B355" s="13"/>
      <c r="C355" s="2"/>
      <c r="D355" s="13"/>
      <c r="E355" s="13"/>
      <c r="F355" s="13"/>
      <c r="G355" s="13"/>
      <c r="H355" s="13"/>
      <c r="I355" s="13"/>
      <c r="J355" s="29"/>
      <c r="K355" s="205"/>
      <c r="L355" s="205"/>
      <c r="M355" s="113"/>
      <c r="N355" s="196" t="e">
        <f>(#REF!/1000)*(#REF!/1000)</f>
        <v>#REF!</v>
      </c>
      <c r="O355" s="196"/>
      <c r="P355" s="196"/>
      <c r="Q355" s="126" t="s">
        <v>73</v>
      </c>
      <c r="R355" s="126"/>
      <c r="S355" s="196">
        <v>1000</v>
      </c>
      <c r="T355" s="196"/>
      <c r="U355" s="196"/>
      <c r="V355" s="13"/>
      <c r="W355" s="13"/>
      <c r="X355" s="13"/>
      <c r="Y355" s="13"/>
      <c r="Z355" s="13"/>
      <c r="AA355" s="13"/>
      <c r="AB355" s="13"/>
      <c r="AC355" s="13"/>
      <c r="AD355" s="13"/>
      <c r="AE355" s="14"/>
      <c r="AF355" s="14"/>
    </row>
    <row r="356" spans="2:32" ht="13.5" hidden="1" customHeight="1">
      <c r="B356" s="13"/>
      <c r="C356" s="2"/>
      <c r="D356" s="13"/>
      <c r="E356" s="13"/>
      <c r="F356" s="13"/>
      <c r="G356" s="13"/>
      <c r="H356" s="13"/>
      <c r="I356" s="13"/>
      <c r="J356" s="29"/>
      <c r="K356" s="29"/>
      <c r="L356" s="6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4"/>
      <c r="AF356" s="14"/>
    </row>
    <row r="357" spans="2:32" ht="13.5" hidden="1" customHeight="1">
      <c r="B357" s="13"/>
      <c r="C357" s="2"/>
      <c r="D357" s="13"/>
      <c r="E357" s="13"/>
      <c r="F357" s="13"/>
      <c r="G357" s="13"/>
      <c r="H357" s="13"/>
      <c r="I357" s="13"/>
      <c r="J357" s="29"/>
      <c r="K357" s="205" t="s">
        <v>97</v>
      </c>
      <c r="L357" s="205"/>
      <c r="M357" s="173" t="s">
        <v>1</v>
      </c>
      <c r="N357" s="176" t="e">
        <f>(N354*S354)/(N355*S355)</f>
        <v>#REF!</v>
      </c>
      <c r="O357" s="176"/>
      <c r="P357" s="176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4"/>
      <c r="AF357" s="14"/>
    </row>
    <row r="358" spans="2:32" ht="13.5" hidden="1" customHeight="1">
      <c r="B358" s="13"/>
      <c r="C358" s="2"/>
      <c r="D358" s="13"/>
      <c r="E358" s="13"/>
      <c r="F358" s="13"/>
      <c r="G358" s="13"/>
      <c r="H358" s="13"/>
      <c r="I358" s="13"/>
      <c r="J358" s="29"/>
      <c r="K358" s="205"/>
      <c r="L358" s="205"/>
      <c r="M358" s="113"/>
      <c r="N358" s="176"/>
      <c r="O358" s="176"/>
      <c r="P358" s="176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4"/>
      <c r="AF358" s="14"/>
    </row>
    <row r="359" spans="2:32" ht="13.5" hidden="1" customHeight="1">
      <c r="B359" s="13"/>
      <c r="C359" s="2"/>
      <c r="D359" s="13"/>
      <c r="E359" s="13"/>
      <c r="F359" s="13"/>
      <c r="G359" s="13"/>
      <c r="H359" s="13"/>
      <c r="I359" s="13"/>
      <c r="J359" s="29"/>
      <c r="K359" s="29"/>
      <c r="L359" s="6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4"/>
      <c r="AF359" s="14"/>
    </row>
    <row r="360" spans="2:32" ht="13.5" hidden="1" customHeight="1">
      <c r="B360" s="13"/>
      <c r="C360" s="2"/>
      <c r="D360" s="13"/>
      <c r="E360" s="13"/>
      <c r="F360" s="13"/>
      <c r="G360" s="13"/>
      <c r="H360" s="13"/>
      <c r="I360" s="13"/>
      <c r="J360" s="29"/>
      <c r="K360" s="29"/>
      <c r="L360" s="6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4"/>
      <c r="AF360" s="14"/>
    </row>
    <row r="361" spans="2:32" s="11" customFormat="1" ht="13.5" hidden="1" customHeight="1">
      <c r="B361" s="9"/>
      <c r="C361" s="3"/>
      <c r="D361" s="9"/>
      <c r="E361" s="9"/>
      <c r="F361" s="9" t="s">
        <v>23</v>
      </c>
      <c r="G361" s="9" t="s">
        <v>140</v>
      </c>
      <c r="H361" s="9"/>
      <c r="I361" s="9"/>
      <c r="J361" s="28"/>
      <c r="K361" s="28"/>
      <c r="L361" s="7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10"/>
    </row>
    <row r="362" spans="2:32" ht="13.5" hidden="1" customHeight="1">
      <c r="B362" s="13"/>
      <c r="C362" s="2"/>
      <c r="D362" s="13"/>
      <c r="E362" s="13"/>
      <c r="F362" s="13"/>
      <c r="G362" s="13"/>
      <c r="H362" s="13"/>
      <c r="I362" s="13"/>
      <c r="J362" s="29"/>
      <c r="K362" s="29"/>
      <c r="L362" s="6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4"/>
      <c r="AF362" s="14"/>
    </row>
    <row r="363" spans="2:32" ht="13.5" hidden="1" customHeight="1">
      <c r="B363" s="13"/>
      <c r="C363" s="2"/>
      <c r="D363" s="13"/>
      <c r="E363" s="13"/>
      <c r="F363" s="13"/>
      <c r="G363" s="13"/>
      <c r="H363" s="13"/>
      <c r="I363" s="13"/>
      <c r="J363" s="29"/>
      <c r="K363" s="205" t="s">
        <v>99</v>
      </c>
      <c r="L363" s="205"/>
      <c r="M363" s="173" t="s">
        <v>1</v>
      </c>
      <c r="N363" s="146" t="s">
        <v>82</v>
      </c>
      <c r="O363" s="146"/>
      <c r="P363" s="146"/>
      <c r="Q363" s="146"/>
      <c r="R363" s="146" t="s">
        <v>73</v>
      </c>
      <c r="S363" s="146"/>
      <c r="T363" s="146" t="s">
        <v>81</v>
      </c>
      <c r="U363" s="146"/>
      <c r="V363" s="146"/>
      <c r="W363" s="13"/>
      <c r="X363" s="13"/>
      <c r="Y363" s="13"/>
      <c r="Z363" s="13"/>
      <c r="AA363" s="13"/>
      <c r="AB363" s="13"/>
      <c r="AC363" s="13"/>
      <c r="AD363" s="13"/>
      <c r="AE363" s="14"/>
      <c r="AF363" s="14"/>
    </row>
    <row r="364" spans="2:32" ht="13.5" hidden="1" customHeight="1">
      <c r="B364" s="13"/>
      <c r="C364" s="2"/>
      <c r="D364" s="13"/>
      <c r="E364" s="13"/>
      <c r="F364" s="13"/>
      <c r="G364" s="13"/>
      <c r="H364" s="13"/>
      <c r="I364" s="13"/>
      <c r="J364" s="29"/>
      <c r="K364" s="205"/>
      <c r="L364" s="205"/>
      <c r="M364" s="113"/>
      <c r="N364" s="126" t="s">
        <v>98</v>
      </c>
      <c r="O364" s="126"/>
      <c r="P364" s="126"/>
      <c r="Q364" s="126"/>
      <c r="R364" s="126" t="s">
        <v>73</v>
      </c>
      <c r="S364" s="126"/>
      <c r="T364" s="126">
        <v>1000</v>
      </c>
      <c r="U364" s="126"/>
      <c r="V364" s="126"/>
      <c r="W364" s="13"/>
      <c r="X364" s="13"/>
      <c r="Y364" s="13"/>
      <c r="Z364" s="13"/>
      <c r="AA364" s="13"/>
      <c r="AB364" s="13"/>
      <c r="AC364" s="13"/>
      <c r="AD364" s="13"/>
      <c r="AE364" s="14"/>
      <c r="AF364" s="14"/>
    </row>
    <row r="365" spans="2:32" ht="13.5" hidden="1" customHeight="1">
      <c r="B365" s="13"/>
      <c r="C365" s="2"/>
      <c r="D365" s="13"/>
      <c r="E365" s="13"/>
      <c r="F365" s="13"/>
      <c r="G365" s="13"/>
      <c r="H365" s="13"/>
      <c r="I365" s="13"/>
      <c r="J365" s="29"/>
      <c r="K365" s="29"/>
      <c r="L365" s="6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4"/>
      <c r="AF365" s="14"/>
    </row>
    <row r="366" spans="2:32" ht="13.5" hidden="1" customHeight="1">
      <c r="B366" s="13"/>
      <c r="C366" s="2"/>
      <c r="D366" s="13"/>
      <c r="E366" s="13"/>
      <c r="F366" s="13"/>
      <c r="G366" s="13"/>
      <c r="H366" s="13"/>
      <c r="I366" s="13"/>
      <c r="J366" s="29"/>
      <c r="K366" s="205" t="s">
        <v>99</v>
      </c>
      <c r="L366" s="205"/>
      <c r="M366" s="173" t="s">
        <v>1</v>
      </c>
      <c r="N366" s="174" t="e">
        <f>N334</f>
        <v>#REF!</v>
      </c>
      <c r="O366" s="174"/>
      <c r="P366" s="174"/>
      <c r="Q366" s="146" t="s">
        <v>73</v>
      </c>
      <c r="R366" s="146"/>
      <c r="S366" s="174" t="e">
        <f>#REF!</f>
        <v>#REF!</v>
      </c>
      <c r="T366" s="174"/>
      <c r="U366" s="174"/>
      <c r="V366" s="13"/>
      <c r="W366" s="13"/>
      <c r="X366" s="13"/>
      <c r="Y366" s="13"/>
      <c r="Z366" s="13"/>
      <c r="AA366" s="13"/>
      <c r="AB366" s="13"/>
      <c r="AC366" s="13"/>
      <c r="AD366" s="13"/>
      <c r="AE366" s="14"/>
      <c r="AF366" s="14"/>
    </row>
    <row r="367" spans="2:32" ht="13.5" hidden="1" customHeight="1">
      <c r="B367" s="13"/>
      <c r="C367" s="2"/>
      <c r="D367" s="13"/>
      <c r="E367" s="13"/>
      <c r="F367" s="13"/>
      <c r="G367" s="13"/>
      <c r="H367" s="13"/>
      <c r="I367" s="13"/>
      <c r="J367" s="29"/>
      <c r="K367" s="205"/>
      <c r="L367" s="205"/>
      <c r="M367" s="113"/>
      <c r="N367" s="196" t="e">
        <f>(#REF!/1000)*(#REF!/1000)</f>
        <v>#REF!</v>
      </c>
      <c r="O367" s="196"/>
      <c r="P367" s="196"/>
      <c r="Q367" s="126" t="s">
        <v>73</v>
      </c>
      <c r="R367" s="126"/>
      <c r="S367" s="196">
        <v>1000</v>
      </c>
      <c r="T367" s="196"/>
      <c r="U367" s="196"/>
      <c r="V367" s="13"/>
      <c r="W367" s="13"/>
      <c r="X367" s="13"/>
      <c r="Y367" s="13"/>
      <c r="Z367" s="13"/>
      <c r="AA367" s="13"/>
      <c r="AB367" s="13"/>
      <c r="AC367" s="13"/>
      <c r="AD367" s="13"/>
      <c r="AE367" s="14"/>
      <c r="AF367" s="14"/>
    </row>
    <row r="368" spans="2:32" ht="13.5" hidden="1" customHeight="1">
      <c r="B368" s="13"/>
      <c r="C368" s="2"/>
      <c r="D368" s="13"/>
      <c r="E368" s="13"/>
      <c r="F368" s="13"/>
      <c r="G368" s="13"/>
      <c r="H368" s="13"/>
      <c r="I368" s="13"/>
      <c r="J368" s="29"/>
      <c r="K368" s="29"/>
      <c r="L368" s="6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4"/>
      <c r="AF368" s="14"/>
    </row>
    <row r="369" spans="2:32" ht="13.5" hidden="1" customHeight="1">
      <c r="B369" s="13"/>
      <c r="C369" s="2"/>
      <c r="D369" s="13"/>
      <c r="E369" s="13"/>
      <c r="F369" s="13"/>
      <c r="G369" s="13"/>
      <c r="H369" s="13"/>
      <c r="I369" s="13"/>
      <c r="J369" s="29"/>
      <c r="K369" s="205" t="s">
        <v>99</v>
      </c>
      <c r="L369" s="205"/>
      <c r="M369" s="173" t="s">
        <v>1</v>
      </c>
      <c r="N369" s="176" t="e">
        <f>(N366*S366)/(N367*S367)</f>
        <v>#REF!</v>
      </c>
      <c r="O369" s="176"/>
      <c r="P369" s="176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4"/>
      <c r="AF369" s="14"/>
    </row>
    <row r="370" spans="2:32" ht="13.5" hidden="1" customHeight="1">
      <c r="B370" s="13"/>
      <c r="C370" s="2"/>
      <c r="D370" s="13"/>
      <c r="E370" s="13"/>
      <c r="F370" s="13"/>
      <c r="G370" s="13"/>
      <c r="H370" s="13"/>
      <c r="I370" s="13"/>
      <c r="J370" s="29"/>
      <c r="K370" s="205"/>
      <c r="L370" s="205"/>
      <c r="M370" s="113"/>
      <c r="N370" s="176"/>
      <c r="O370" s="176"/>
      <c r="P370" s="176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4"/>
      <c r="AF370" s="14"/>
    </row>
    <row r="371" spans="2:32" ht="13.5" hidden="1" customHeight="1">
      <c r="B371" s="13"/>
      <c r="C371" s="2"/>
      <c r="D371" s="13"/>
      <c r="E371" s="13"/>
      <c r="F371" s="13"/>
      <c r="G371" s="13"/>
      <c r="H371" s="13"/>
      <c r="I371" s="13"/>
      <c r="J371" s="29"/>
      <c r="K371" s="29"/>
      <c r="L371" s="6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4"/>
      <c r="AF371" s="14"/>
    </row>
    <row r="372" spans="2:32" s="11" customFormat="1" ht="13.5" hidden="1" customHeight="1">
      <c r="B372" s="9"/>
      <c r="C372" s="3"/>
      <c r="D372" s="9"/>
      <c r="E372" s="9"/>
      <c r="F372" s="9"/>
      <c r="G372" s="9" t="s">
        <v>145</v>
      </c>
      <c r="H372" s="9"/>
      <c r="I372" s="9"/>
      <c r="J372" s="28"/>
      <c r="K372" s="28"/>
      <c r="L372" s="7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10"/>
    </row>
    <row r="373" spans="2:32" ht="13.5" hidden="1" customHeight="1">
      <c r="B373" s="13"/>
      <c r="C373" s="2"/>
      <c r="D373" s="13"/>
      <c r="E373" s="13"/>
      <c r="F373" s="13"/>
      <c r="G373" s="13"/>
      <c r="H373" s="13"/>
      <c r="I373" s="13"/>
      <c r="J373" s="29"/>
      <c r="K373" s="29"/>
      <c r="L373" s="6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4"/>
      <c r="AF373" s="14"/>
    </row>
    <row r="374" spans="2:32" s="11" customFormat="1" ht="13.5" hidden="1" customHeight="1">
      <c r="B374" s="9"/>
      <c r="C374" s="3"/>
      <c r="D374" s="9"/>
      <c r="E374" s="9"/>
      <c r="F374" s="9" t="s">
        <v>24</v>
      </c>
      <c r="G374" s="9" t="s">
        <v>79</v>
      </c>
      <c r="H374" s="9"/>
      <c r="I374" s="9"/>
      <c r="J374" s="28"/>
      <c r="K374" s="28"/>
      <c r="L374" s="7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10"/>
    </row>
    <row r="375" spans="2:32" ht="13.5" hidden="1" customHeight="1">
      <c r="B375" s="13"/>
      <c r="C375" s="2"/>
      <c r="D375" s="13"/>
      <c r="E375" s="13"/>
      <c r="F375" s="13"/>
      <c r="G375" s="13"/>
      <c r="H375" s="13"/>
      <c r="I375" s="13"/>
      <c r="J375" s="29"/>
      <c r="K375" s="29"/>
      <c r="L375" s="6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4"/>
      <c r="AF375" s="14"/>
    </row>
    <row r="376" spans="2:32" ht="13.5" hidden="1" customHeight="1">
      <c r="B376" s="13"/>
      <c r="C376" s="2"/>
      <c r="D376" s="13"/>
      <c r="E376" s="13"/>
      <c r="F376" s="13"/>
      <c r="G376" s="13"/>
      <c r="H376" s="13"/>
      <c r="I376" s="113" t="s">
        <v>25</v>
      </c>
      <c r="J376" s="113"/>
      <c r="K376" s="113"/>
      <c r="L376" s="113"/>
      <c r="M376" s="173" t="s">
        <v>1</v>
      </c>
      <c r="N376" s="197" t="s">
        <v>95</v>
      </c>
      <c r="O376" s="198"/>
      <c r="P376" s="198"/>
      <c r="Q376" s="208" t="s">
        <v>8</v>
      </c>
      <c r="R376" s="198"/>
      <c r="S376" s="198" t="s">
        <v>96</v>
      </c>
      <c r="T376" s="198"/>
      <c r="U376" s="198"/>
      <c r="V376" s="13"/>
      <c r="W376" s="13"/>
      <c r="X376" s="13"/>
      <c r="Y376" s="13"/>
      <c r="Z376" s="13"/>
      <c r="AA376" s="13"/>
      <c r="AB376" s="13"/>
      <c r="AC376" s="13"/>
      <c r="AD376" s="13"/>
      <c r="AE376" s="14"/>
      <c r="AF376" s="14"/>
    </row>
    <row r="377" spans="2:32" ht="13.5" hidden="1" customHeight="1">
      <c r="B377" s="13"/>
      <c r="C377" s="2"/>
      <c r="D377" s="13"/>
      <c r="E377" s="13"/>
      <c r="F377" s="13"/>
      <c r="G377" s="13"/>
      <c r="H377" s="13"/>
      <c r="I377" s="113"/>
      <c r="J377" s="113"/>
      <c r="K377" s="113"/>
      <c r="L377" s="113"/>
      <c r="M377" s="113"/>
      <c r="N377" s="199"/>
      <c r="O377" s="113"/>
      <c r="P377" s="113"/>
      <c r="Q377" s="113"/>
      <c r="R377" s="113"/>
      <c r="S377" s="113"/>
      <c r="T377" s="113"/>
      <c r="U377" s="113"/>
      <c r="V377" s="13"/>
      <c r="W377" s="13"/>
      <c r="X377" s="13"/>
      <c r="Y377" s="13"/>
      <c r="Z377" s="13"/>
      <c r="AA377" s="13"/>
      <c r="AB377" s="13"/>
      <c r="AC377" s="13"/>
      <c r="AD377" s="13"/>
      <c r="AE377" s="14"/>
      <c r="AF377" s="14"/>
    </row>
    <row r="378" spans="2:32" ht="13.5" hidden="1" customHeight="1">
      <c r="B378" s="13"/>
      <c r="C378" s="2"/>
      <c r="D378" s="13"/>
      <c r="E378" s="13"/>
      <c r="F378" s="13"/>
      <c r="G378" s="13"/>
      <c r="H378" s="13"/>
      <c r="I378" s="13"/>
      <c r="J378" s="29"/>
      <c r="K378" s="29"/>
      <c r="L378" s="6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4"/>
      <c r="AF378" s="14"/>
    </row>
    <row r="379" spans="2:32" ht="13.5" hidden="1" customHeight="1">
      <c r="B379" s="13"/>
      <c r="C379" s="2"/>
      <c r="D379" s="13"/>
      <c r="E379" s="13"/>
      <c r="F379" s="13"/>
      <c r="G379" s="13"/>
      <c r="H379" s="13"/>
      <c r="I379" s="113" t="s">
        <v>25</v>
      </c>
      <c r="J379" s="113"/>
      <c r="K379" s="113"/>
      <c r="L379" s="113"/>
      <c r="M379" s="173" t="s">
        <v>1</v>
      </c>
      <c r="N379" s="206" t="e">
        <f>N357*N357</f>
        <v>#REF!</v>
      </c>
      <c r="O379" s="195"/>
      <c r="P379" s="195"/>
      <c r="Q379" s="208" t="s">
        <v>8</v>
      </c>
      <c r="R379" s="198"/>
      <c r="S379" s="195" t="e">
        <f>N369*N369</f>
        <v>#REF!</v>
      </c>
      <c r="T379" s="195"/>
      <c r="U379" s="195"/>
      <c r="V379" s="13"/>
      <c r="W379" s="13"/>
      <c r="X379" s="13"/>
      <c r="Y379" s="13"/>
      <c r="Z379" s="13"/>
      <c r="AA379" s="13"/>
      <c r="AB379" s="13"/>
      <c r="AC379" s="13"/>
      <c r="AD379" s="13"/>
      <c r="AE379" s="14"/>
      <c r="AF379" s="14"/>
    </row>
    <row r="380" spans="2:32" ht="13.5" hidden="1" customHeight="1">
      <c r="B380" s="13"/>
      <c r="C380" s="2"/>
      <c r="D380" s="13"/>
      <c r="E380" s="13"/>
      <c r="F380" s="13"/>
      <c r="G380" s="13"/>
      <c r="H380" s="13"/>
      <c r="I380" s="113"/>
      <c r="J380" s="113"/>
      <c r="K380" s="113"/>
      <c r="L380" s="113"/>
      <c r="M380" s="113"/>
      <c r="N380" s="207"/>
      <c r="O380" s="176"/>
      <c r="P380" s="176"/>
      <c r="Q380" s="113"/>
      <c r="R380" s="113"/>
      <c r="S380" s="176"/>
      <c r="T380" s="176"/>
      <c r="U380" s="176"/>
      <c r="V380" s="13"/>
      <c r="W380" s="13"/>
      <c r="X380" s="13"/>
      <c r="Y380" s="13"/>
      <c r="Z380" s="13"/>
      <c r="AA380" s="13"/>
      <c r="AB380" s="13"/>
      <c r="AC380" s="13"/>
      <c r="AD380" s="13"/>
      <c r="AE380" s="14"/>
      <c r="AF380" s="14"/>
    </row>
    <row r="381" spans="2:32" ht="13.5" hidden="1" customHeight="1">
      <c r="B381" s="13"/>
      <c r="C381" s="2"/>
      <c r="D381" s="13"/>
      <c r="E381" s="13"/>
      <c r="F381" s="13"/>
      <c r="G381" s="13"/>
      <c r="H381" s="13"/>
      <c r="I381" s="13"/>
      <c r="J381" s="29"/>
      <c r="K381" s="29"/>
      <c r="L381" s="6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4"/>
      <c r="AF381" s="14"/>
    </row>
    <row r="382" spans="2:32" ht="13.5" hidden="1" customHeight="1">
      <c r="B382" s="13"/>
      <c r="C382" s="2"/>
      <c r="D382" s="13"/>
      <c r="E382" s="13"/>
      <c r="F382" s="13"/>
      <c r="G382" s="13"/>
      <c r="H382" s="13"/>
      <c r="I382" s="113" t="s">
        <v>25</v>
      </c>
      <c r="J382" s="113"/>
      <c r="K382" s="113"/>
      <c r="L382" s="113"/>
      <c r="M382" s="173" t="s">
        <v>1</v>
      </c>
      <c r="N382" s="176" t="e">
        <f>SQRT(N379+S379)</f>
        <v>#REF!</v>
      </c>
      <c r="O382" s="176"/>
      <c r="P382" s="176"/>
      <c r="Q382" s="176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4"/>
      <c r="AF382" s="14"/>
    </row>
    <row r="383" spans="2:32" ht="13.5" hidden="1" customHeight="1">
      <c r="B383" s="13"/>
      <c r="C383" s="2"/>
      <c r="D383" s="13"/>
      <c r="E383" s="13"/>
      <c r="F383" s="13"/>
      <c r="G383" s="13"/>
      <c r="H383" s="13"/>
      <c r="I383" s="113"/>
      <c r="J383" s="113"/>
      <c r="K383" s="113"/>
      <c r="L383" s="113"/>
      <c r="M383" s="113"/>
      <c r="N383" s="176"/>
      <c r="O383" s="176"/>
      <c r="P383" s="176"/>
      <c r="Q383" s="176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4"/>
      <c r="AF383" s="14"/>
    </row>
    <row r="384" spans="2:32" ht="13.5" hidden="1" customHeight="1">
      <c r="B384" s="21"/>
      <c r="C384" s="34"/>
      <c r="D384" s="21"/>
      <c r="E384" s="21"/>
      <c r="F384" s="21"/>
      <c r="G384" s="21"/>
      <c r="H384" s="21"/>
      <c r="I384" s="21"/>
      <c r="J384" s="35"/>
      <c r="K384" s="35"/>
      <c r="L384" s="35"/>
      <c r="M384" s="21"/>
      <c r="N384" s="36"/>
      <c r="O384" s="36"/>
      <c r="P384" s="36"/>
      <c r="Q384" s="36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3"/>
      <c r="AF384" s="14"/>
    </row>
    <row r="385" spans="2:32" ht="13.5" hidden="1" customHeight="1">
      <c r="B385" s="13"/>
      <c r="C385" s="2"/>
      <c r="D385" s="13"/>
      <c r="E385" s="13"/>
      <c r="F385" s="13"/>
      <c r="G385" s="13"/>
      <c r="H385" s="13"/>
      <c r="I385" s="13"/>
      <c r="J385" s="29"/>
      <c r="K385" s="29"/>
      <c r="L385" s="29"/>
      <c r="M385" s="13"/>
      <c r="N385" s="17"/>
      <c r="O385" s="17"/>
      <c r="P385" s="17"/>
      <c r="Q385" s="17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4"/>
      <c r="AF385" s="14"/>
    </row>
    <row r="386" spans="2:32" ht="13.5" hidden="1" customHeight="1">
      <c r="B386" s="13"/>
      <c r="C386" s="2"/>
      <c r="D386" s="13"/>
      <c r="E386" s="13"/>
      <c r="F386" s="13"/>
      <c r="G386" s="13"/>
      <c r="H386" s="13"/>
      <c r="I386" s="18"/>
      <c r="J386" s="18"/>
      <c r="K386" s="6"/>
      <c r="L386" s="6"/>
      <c r="M386" s="6"/>
      <c r="N386" s="30"/>
      <c r="O386" s="6"/>
      <c r="P386" s="6"/>
      <c r="Q386" s="6"/>
      <c r="R386" s="30"/>
      <c r="S386" s="6"/>
      <c r="T386" s="6"/>
      <c r="U386" s="6"/>
      <c r="V386" s="13"/>
      <c r="W386" s="13"/>
      <c r="X386" s="13"/>
      <c r="Y386" s="13"/>
      <c r="Z386" s="13"/>
      <c r="AA386" s="13"/>
      <c r="AB386" s="13"/>
      <c r="AC386" s="13"/>
      <c r="AD386" s="13"/>
      <c r="AE386" s="14"/>
      <c r="AF386" s="14"/>
    </row>
    <row r="387" spans="2:32" s="11" customFormat="1" ht="13.5" hidden="1" customHeight="1">
      <c r="B387" s="9"/>
      <c r="C387" s="3"/>
      <c r="D387" s="9"/>
      <c r="E387" s="9"/>
      <c r="F387" s="9" t="s">
        <v>58</v>
      </c>
      <c r="G387" s="9" t="s">
        <v>31</v>
      </c>
      <c r="H387" s="9"/>
      <c r="I387" s="20"/>
      <c r="J387" s="20"/>
      <c r="K387" s="37"/>
      <c r="L387" s="7"/>
      <c r="M387" s="7"/>
      <c r="N387" s="7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10"/>
    </row>
    <row r="388" spans="2:32" ht="13.5" hidden="1" customHeight="1">
      <c r="B388" s="13"/>
      <c r="C388" s="2"/>
      <c r="D388" s="13"/>
      <c r="E388" s="13"/>
      <c r="F388" s="13"/>
      <c r="G388" s="13"/>
      <c r="H388" s="13"/>
      <c r="I388" s="18"/>
      <c r="J388" s="18"/>
      <c r="K388" s="38"/>
      <c r="L388" s="6"/>
      <c r="M388" s="6"/>
      <c r="N388" s="6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4"/>
      <c r="AF388" s="14"/>
    </row>
    <row r="389" spans="2:32" ht="13.5" hidden="1" customHeight="1">
      <c r="B389" s="13"/>
      <c r="C389" s="2"/>
      <c r="D389" s="13"/>
      <c r="E389" s="13"/>
      <c r="F389" s="13"/>
      <c r="G389" s="125" t="s">
        <v>91</v>
      </c>
      <c r="H389" s="125"/>
      <c r="I389" s="125"/>
      <c r="J389" s="30" t="s">
        <v>1</v>
      </c>
      <c r="K389" s="125" t="s">
        <v>92</v>
      </c>
      <c r="L389" s="125"/>
      <c r="M389" s="125"/>
      <c r="N389" s="175" t="s">
        <v>8</v>
      </c>
      <c r="O389" s="125"/>
      <c r="P389" s="125" t="s">
        <v>100</v>
      </c>
      <c r="Q389" s="125"/>
      <c r="R389" s="125"/>
      <c r="S389" s="175" t="s">
        <v>8</v>
      </c>
      <c r="T389" s="125"/>
      <c r="U389" s="125" t="s">
        <v>69</v>
      </c>
      <c r="V389" s="125"/>
      <c r="W389" s="30" t="s">
        <v>8</v>
      </c>
      <c r="X389" s="128" t="s">
        <v>25</v>
      </c>
      <c r="Y389" s="128"/>
      <c r="Z389" s="128"/>
      <c r="AA389" s="128"/>
      <c r="AB389" s="13"/>
      <c r="AC389" s="13"/>
      <c r="AD389" s="13"/>
      <c r="AE389" s="14"/>
      <c r="AF389" s="14"/>
    </row>
    <row r="390" spans="2:32" ht="13.5" hidden="1" customHeight="1">
      <c r="B390" s="13"/>
      <c r="C390" s="2"/>
      <c r="D390" s="13"/>
      <c r="E390" s="13"/>
      <c r="F390" s="13"/>
      <c r="G390" s="125" t="s">
        <v>91</v>
      </c>
      <c r="H390" s="125"/>
      <c r="I390" s="125"/>
      <c r="J390" s="30" t="s">
        <v>1</v>
      </c>
      <c r="K390" s="177" t="e">
        <f>#REF!</f>
        <v>#REF!</v>
      </c>
      <c r="L390" s="177"/>
      <c r="M390" s="177"/>
      <c r="N390" s="175" t="s">
        <v>8</v>
      </c>
      <c r="O390" s="125"/>
      <c r="P390" s="177" t="e">
        <f>#REF!</f>
        <v>#REF!</v>
      </c>
      <c r="Q390" s="177"/>
      <c r="R390" s="177"/>
      <c r="S390" s="175" t="s">
        <v>8</v>
      </c>
      <c r="T390" s="125"/>
      <c r="U390" s="177" t="e">
        <f>#REF!</f>
        <v>#REF!</v>
      </c>
      <c r="V390" s="177"/>
      <c r="W390" s="30" t="s">
        <v>8</v>
      </c>
      <c r="X390" s="213" t="e">
        <f>N382</f>
        <v>#REF!</v>
      </c>
      <c r="Y390" s="213"/>
      <c r="Z390" s="213"/>
      <c r="AA390" s="213"/>
      <c r="AB390" s="13"/>
      <c r="AC390" s="13"/>
      <c r="AD390" s="13"/>
      <c r="AE390" s="14"/>
      <c r="AF390" s="14"/>
    </row>
    <row r="391" spans="2:32" ht="13.5" hidden="1" customHeight="1">
      <c r="B391" s="13"/>
      <c r="C391" s="2"/>
      <c r="D391" s="13"/>
      <c r="E391" s="13"/>
      <c r="F391" s="13"/>
      <c r="G391" s="125" t="s">
        <v>91</v>
      </c>
      <c r="H391" s="125"/>
      <c r="I391" s="125"/>
      <c r="J391" s="30" t="s">
        <v>1</v>
      </c>
      <c r="K391" s="177" t="e">
        <f>K390+P390+U390+X390</f>
        <v>#REF!</v>
      </c>
      <c r="L391" s="177"/>
      <c r="M391" s="177"/>
      <c r="N391" s="175"/>
      <c r="O391" s="125"/>
      <c r="P391" s="125"/>
      <c r="Q391" s="125"/>
      <c r="R391" s="125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4"/>
      <c r="AF391" s="14"/>
    </row>
    <row r="392" spans="2:32" ht="13.5" hidden="1" customHeight="1">
      <c r="B392" s="13"/>
      <c r="C392" s="2"/>
      <c r="D392" s="13"/>
      <c r="E392" s="13"/>
      <c r="F392" s="13"/>
      <c r="G392" s="13"/>
      <c r="H392" s="13"/>
      <c r="I392" s="18"/>
      <c r="J392" s="18"/>
      <c r="K392" s="6"/>
      <c r="L392" s="6"/>
      <c r="M392" s="6"/>
      <c r="N392" s="30"/>
      <c r="O392" s="6"/>
      <c r="P392" s="6"/>
      <c r="Q392" s="6"/>
      <c r="R392" s="30"/>
      <c r="S392" s="6"/>
      <c r="T392" s="6"/>
      <c r="U392" s="6"/>
      <c r="V392" s="13"/>
      <c r="W392" s="13"/>
      <c r="X392" s="13"/>
      <c r="Y392" s="13"/>
      <c r="Z392" s="13"/>
      <c r="AA392" s="13"/>
      <c r="AB392" s="13"/>
      <c r="AC392" s="13"/>
      <c r="AD392" s="13"/>
      <c r="AE392" s="14"/>
      <c r="AF392" s="14"/>
    </row>
    <row r="393" spans="2:32" ht="13.5" hidden="1" customHeight="1">
      <c r="B393" s="13"/>
      <c r="C393" s="2"/>
      <c r="D393" s="13"/>
      <c r="E393" s="13"/>
      <c r="F393" s="13"/>
      <c r="G393" s="13"/>
      <c r="H393" s="13"/>
      <c r="I393" s="13"/>
      <c r="J393" s="29"/>
      <c r="K393" s="29"/>
      <c r="L393" s="29"/>
      <c r="M393" s="13"/>
      <c r="N393" s="17"/>
      <c r="O393" s="17"/>
      <c r="P393" s="17"/>
      <c r="Q393" s="17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4"/>
      <c r="AF393" s="14"/>
    </row>
    <row r="394" spans="2:32" s="11" customFormat="1" ht="13.5" hidden="1" customHeight="1">
      <c r="B394" s="9"/>
      <c r="C394" s="3"/>
      <c r="D394" s="9"/>
      <c r="E394" s="9"/>
      <c r="F394" s="9" t="s">
        <v>59</v>
      </c>
      <c r="G394" s="9" t="s">
        <v>83</v>
      </c>
      <c r="H394" s="9"/>
      <c r="I394" s="9"/>
      <c r="J394" s="28"/>
      <c r="K394" s="28"/>
      <c r="L394" s="7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10"/>
    </row>
    <row r="395" spans="2:32" ht="13.5" hidden="1" customHeight="1">
      <c r="B395" s="13"/>
      <c r="C395" s="2"/>
      <c r="D395" s="13"/>
      <c r="E395" s="13"/>
      <c r="F395" s="13"/>
      <c r="G395" s="13"/>
      <c r="H395" s="13"/>
      <c r="I395" s="13"/>
      <c r="J395" s="29"/>
      <c r="K395" s="29"/>
      <c r="L395" s="6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4"/>
      <c r="AF395" s="14"/>
    </row>
    <row r="396" spans="2:32" ht="13.5" hidden="1" customHeight="1">
      <c r="B396" s="13"/>
      <c r="C396" s="2"/>
      <c r="D396" s="13"/>
      <c r="E396" s="13"/>
      <c r="F396" s="13"/>
      <c r="G396" s="13"/>
      <c r="H396" s="13"/>
      <c r="I396" s="13"/>
      <c r="J396" s="205" t="s">
        <v>93</v>
      </c>
      <c r="K396" s="205"/>
      <c r="L396" s="173" t="s">
        <v>1</v>
      </c>
      <c r="M396" s="146" t="s">
        <v>72</v>
      </c>
      <c r="N396" s="146"/>
      <c r="O396" s="146"/>
      <c r="P396" s="146"/>
      <c r="Q396" s="146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4"/>
      <c r="AF396" s="14"/>
    </row>
    <row r="397" spans="2:32" ht="13.5" hidden="1" customHeight="1">
      <c r="B397" s="13"/>
      <c r="C397" s="2"/>
      <c r="D397" s="13"/>
      <c r="E397" s="13"/>
      <c r="F397" s="13"/>
      <c r="G397" s="13"/>
      <c r="H397" s="13"/>
      <c r="I397" s="13"/>
      <c r="J397" s="205"/>
      <c r="K397" s="205"/>
      <c r="L397" s="113"/>
      <c r="M397" s="125" t="s">
        <v>70</v>
      </c>
      <c r="N397" s="125"/>
      <c r="O397" s="125"/>
      <c r="P397" s="125"/>
      <c r="Q397" s="12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4"/>
      <c r="AF397" s="14"/>
    </row>
    <row r="398" spans="2:32" ht="13.5" hidden="1" customHeight="1">
      <c r="B398" s="13"/>
      <c r="C398" s="2"/>
      <c r="D398" s="13"/>
      <c r="E398" s="13"/>
      <c r="F398" s="13"/>
      <c r="G398" s="13"/>
      <c r="H398" s="13"/>
      <c r="I398" s="13"/>
      <c r="J398" s="29"/>
      <c r="K398" s="29"/>
      <c r="L398" s="6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4"/>
      <c r="AF398" s="14"/>
    </row>
    <row r="399" spans="2:32" ht="13.5" hidden="1" customHeight="1">
      <c r="B399" s="13"/>
      <c r="C399" s="2"/>
      <c r="D399" s="13"/>
      <c r="E399" s="13"/>
      <c r="F399" s="13"/>
      <c r="G399" s="13"/>
      <c r="H399" s="13"/>
      <c r="I399" s="13"/>
      <c r="J399" s="205" t="s">
        <v>93</v>
      </c>
      <c r="K399" s="205"/>
      <c r="L399" s="173" t="s">
        <v>1</v>
      </c>
      <c r="M399" s="174" t="e">
        <f>#REF!</f>
        <v>#REF!</v>
      </c>
      <c r="N399" s="174"/>
      <c r="O399" s="174"/>
      <c r="P399" s="174"/>
      <c r="Q399" s="174"/>
      <c r="R399" s="174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4"/>
      <c r="AF399" s="14"/>
    </row>
    <row r="400" spans="2:32" ht="13.5" hidden="1" customHeight="1">
      <c r="B400" s="13"/>
      <c r="C400" s="2"/>
      <c r="D400" s="13"/>
      <c r="E400" s="13"/>
      <c r="F400" s="13"/>
      <c r="G400" s="13"/>
      <c r="H400" s="13"/>
      <c r="I400" s="13"/>
      <c r="J400" s="205"/>
      <c r="K400" s="205"/>
      <c r="L400" s="113"/>
      <c r="M400" s="31">
        <v>4</v>
      </c>
      <c r="N400" s="6" t="s">
        <v>73</v>
      </c>
      <c r="O400" s="211">
        <v>800</v>
      </c>
      <c r="P400" s="212"/>
      <c r="Q400" s="212"/>
      <c r="R400" s="212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4"/>
      <c r="AF400" s="14"/>
    </row>
    <row r="401" spans="2:32" ht="13.5" hidden="1" customHeight="1">
      <c r="B401" s="13"/>
      <c r="C401" s="2"/>
      <c r="D401" s="13"/>
      <c r="E401" s="13"/>
      <c r="F401" s="13"/>
      <c r="G401" s="13"/>
      <c r="H401" s="13"/>
      <c r="I401" s="13"/>
      <c r="J401" s="29"/>
      <c r="K401" s="29"/>
      <c r="L401" s="6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4"/>
      <c r="AF401" s="14"/>
    </row>
    <row r="402" spans="2:32" ht="13.5" hidden="1" customHeight="1">
      <c r="B402" s="13"/>
      <c r="C402" s="2"/>
      <c r="D402" s="13"/>
      <c r="E402" s="13"/>
      <c r="F402" s="13"/>
      <c r="G402" s="13"/>
      <c r="H402" s="13"/>
      <c r="I402" s="13"/>
      <c r="J402" s="205" t="s">
        <v>93</v>
      </c>
      <c r="K402" s="205"/>
      <c r="L402" s="173" t="s">
        <v>1</v>
      </c>
      <c r="M402" s="113"/>
      <c r="N402" s="176" t="e">
        <f>M399/M400/O400</f>
        <v>#REF!</v>
      </c>
      <c r="O402" s="176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4"/>
      <c r="AF402" s="14"/>
    </row>
    <row r="403" spans="2:32" ht="13.5" hidden="1" customHeight="1">
      <c r="B403" s="13"/>
      <c r="C403" s="2"/>
      <c r="D403" s="13"/>
      <c r="E403" s="13"/>
      <c r="F403" s="13"/>
      <c r="G403" s="13"/>
      <c r="H403" s="13"/>
      <c r="I403" s="13"/>
      <c r="J403" s="205"/>
      <c r="K403" s="205"/>
      <c r="L403" s="113"/>
      <c r="M403" s="113"/>
      <c r="N403" s="176"/>
      <c r="O403" s="176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4"/>
      <c r="AF403" s="14"/>
    </row>
    <row r="404" spans="2:32" ht="13.5" hidden="1" customHeight="1">
      <c r="B404" s="13"/>
      <c r="C404" s="2"/>
      <c r="D404" s="13"/>
      <c r="E404" s="13"/>
      <c r="F404" s="13"/>
      <c r="G404" s="13"/>
      <c r="H404" s="13"/>
      <c r="I404" s="13"/>
      <c r="J404" s="29"/>
      <c r="K404" s="29"/>
      <c r="L404" s="29"/>
      <c r="M404" s="13"/>
      <c r="N404" s="17"/>
      <c r="O404" s="17"/>
      <c r="P404" s="17"/>
      <c r="Q404" s="17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4"/>
      <c r="AF404" s="14"/>
    </row>
    <row r="405" spans="2:32" ht="13.5" hidden="1" customHeight="1">
      <c r="B405" s="13"/>
      <c r="C405" s="2"/>
      <c r="D405" s="13"/>
      <c r="E405" s="13"/>
      <c r="F405" s="13"/>
      <c r="G405" s="13"/>
      <c r="H405" s="13"/>
      <c r="I405" s="13"/>
      <c r="J405" s="29"/>
      <c r="K405" s="29"/>
      <c r="L405" s="29"/>
      <c r="M405" s="13"/>
      <c r="N405" s="17"/>
      <c r="O405" s="17"/>
      <c r="P405" s="17"/>
      <c r="Q405" s="17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4"/>
      <c r="AF405" s="14"/>
    </row>
    <row r="406" spans="2:32" s="11" customFormat="1" ht="13.5" hidden="1" customHeight="1">
      <c r="B406" s="9"/>
      <c r="C406" s="3"/>
      <c r="D406" s="9"/>
      <c r="E406" s="9"/>
      <c r="F406" s="9" t="s">
        <v>84</v>
      </c>
      <c r="G406" s="209" t="s">
        <v>146</v>
      </c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10"/>
    </row>
    <row r="407" spans="2:32" ht="13.5" hidden="1" customHeight="1">
      <c r="B407" s="13"/>
      <c r="C407" s="2"/>
      <c r="D407" s="13"/>
      <c r="E407" s="13"/>
      <c r="F407" s="13"/>
      <c r="G407" s="13"/>
      <c r="H407" s="13"/>
      <c r="I407" s="13"/>
      <c r="J407" s="29"/>
      <c r="K407" s="29"/>
      <c r="L407" s="6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4"/>
      <c r="AF407" s="14"/>
    </row>
    <row r="408" spans="2:32" ht="13.5" hidden="1" customHeight="1">
      <c r="B408" s="13"/>
      <c r="C408" s="2"/>
      <c r="D408" s="13"/>
      <c r="E408" s="13"/>
      <c r="F408" s="13"/>
      <c r="G408" s="13"/>
      <c r="H408" s="13"/>
      <c r="I408" s="13"/>
      <c r="J408" s="113" t="s">
        <v>28</v>
      </c>
      <c r="K408" s="113"/>
      <c r="L408" s="113"/>
      <c r="M408" s="173" t="s">
        <v>1</v>
      </c>
      <c r="N408" s="146" t="s">
        <v>91</v>
      </c>
      <c r="O408" s="146"/>
      <c r="P408" s="146"/>
      <c r="Q408" s="146" t="s">
        <v>73</v>
      </c>
      <c r="R408" s="146"/>
      <c r="S408" s="146" t="s">
        <v>93</v>
      </c>
      <c r="T408" s="146"/>
      <c r="U408" s="146"/>
      <c r="V408" s="13"/>
      <c r="W408" s="13"/>
      <c r="X408" s="13"/>
      <c r="Y408" s="13"/>
      <c r="Z408" s="13"/>
      <c r="AA408" s="13"/>
      <c r="AB408" s="13"/>
      <c r="AC408" s="13"/>
      <c r="AD408" s="13"/>
      <c r="AE408" s="14"/>
      <c r="AF408" s="14"/>
    </row>
    <row r="409" spans="2:32" ht="13.5" hidden="1" customHeight="1">
      <c r="B409" s="13"/>
      <c r="C409" s="2"/>
      <c r="D409" s="13"/>
      <c r="E409" s="13"/>
      <c r="F409" s="13"/>
      <c r="G409" s="13"/>
      <c r="H409" s="13"/>
      <c r="I409" s="13"/>
      <c r="J409" s="113"/>
      <c r="K409" s="113"/>
      <c r="L409" s="113"/>
      <c r="M409" s="113"/>
      <c r="N409" s="125" t="s">
        <v>91</v>
      </c>
      <c r="O409" s="125"/>
      <c r="P409" s="125"/>
      <c r="Q409" s="175" t="s">
        <v>8</v>
      </c>
      <c r="R409" s="125"/>
      <c r="S409" s="125" t="s">
        <v>93</v>
      </c>
      <c r="T409" s="125"/>
      <c r="U409" s="125"/>
      <c r="V409" s="13"/>
      <c r="W409" s="13"/>
      <c r="X409" s="13"/>
      <c r="Y409" s="13"/>
      <c r="Z409" s="13"/>
      <c r="AA409" s="13"/>
      <c r="AB409" s="13"/>
      <c r="AC409" s="13"/>
      <c r="AD409" s="13"/>
      <c r="AE409" s="14"/>
      <c r="AF409" s="14"/>
    </row>
    <row r="410" spans="2:32" ht="13.5" hidden="1" customHeight="1">
      <c r="B410" s="13"/>
      <c r="C410" s="2"/>
      <c r="D410" s="13"/>
      <c r="E410" s="13"/>
      <c r="F410" s="13"/>
      <c r="G410" s="13"/>
      <c r="H410" s="13"/>
      <c r="I410" s="13"/>
      <c r="J410" s="29"/>
      <c r="K410" s="29"/>
      <c r="L410" s="6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4"/>
      <c r="AF410" s="14"/>
    </row>
    <row r="411" spans="2:32" ht="13.5" hidden="1" customHeight="1">
      <c r="B411" s="13"/>
      <c r="C411" s="2"/>
      <c r="D411" s="13"/>
      <c r="E411" s="13"/>
      <c r="F411" s="13"/>
      <c r="G411" s="13"/>
      <c r="H411" s="13"/>
      <c r="I411" s="13"/>
      <c r="J411" s="113" t="s">
        <v>28</v>
      </c>
      <c r="K411" s="113"/>
      <c r="L411" s="113"/>
      <c r="M411" s="173" t="s">
        <v>1</v>
      </c>
      <c r="N411" s="174" t="e">
        <f>K391</f>
        <v>#REF!</v>
      </c>
      <c r="O411" s="174"/>
      <c r="P411" s="174"/>
      <c r="Q411" s="146" t="s">
        <v>73</v>
      </c>
      <c r="R411" s="146"/>
      <c r="S411" s="174" t="e">
        <f>N402</f>
        <v>#REF!</v>
      </c>
      <c r="T411" s="174"/>
      <c r="U411" s="174"/>
      <c r="V411" s="13"/>
      <c r="W411" s="13"/>
      <c r="X411" s="13"/>
      <c r="Y411" s="13"/>
      <c r="Z411" s="13"/>
      <c r="AA411" s="13"/>
      <c r="AB411" s="13"/>
      <c r="AC411" s="13"/>
      <c r="AD411" s="13"/>
      <c r="AE411" s="14"/>
      <c r="AF411" s="14"/>
    </row>
    <row r="412" spans="2:32" ht="13.5" hidden="1" customHeight="1">
      <c r="B412" s="13"/>
      <c r="C412" s="2"/>
      <c r="D412" s="13"/>
      <c r="E412" s="13"/>
      <c r="F412" s="13"/>
      <c r="G412" s="13"/>
      <c r="H412" s="13"/>
      <c r="I412" s="13"/>
      <c r="J412" s="113"/>
      <c r="K412" s="113"/>
      <c r="L412" s="113"/>
      <c r="M412" s="113"/>
      <c r="N412" s="196" t="e">
        <f>K391</f>
        <v>#REF!</v>
      </c>
      <c r="O412" s="196"/>
      <c r="P412" s="196"/>
      <c r="Q412" s="210" t="s">
        <v>8</v>
      </c>
      <c r="R412" s="126"/>
      <c r="S412" s="196" t="e">
        <f>N402</f>
        <v>#REF!</v>
      </c>
      <c r="T412" s="196"/>
      <c r="U412" s="196"/>
      <c r="V412" s="13"/>
      <c r="W412" s="13"/>
      <c r="X412" s="13"/>
      <c r="Y412" s="13"/>
      <c r="Z412" s="13"/>
      <c r="AA412" s="13"/>
      <c r="AB412" s="13"/>
      <c r="AC412" s="13"/>
      <c r="AD412" s="13"/>
      <c r="AE412" s="14"/>
      <c r="AF412" s="14"/>
    </row>
    <row r="413" spans="2:32" ht="13.5" hidden="1" customHeight="1">
      <c r="B413" s="13"/>
      <c r="C413" s="2"/>
      <c r="D413" s="13"/>
      <c r="E413" s="13"/>
      <c r="F413" s="13"/>
      <c r="G413" s="13"/>
      <c r="H413" s="13"/>
      <c r="I413" s="13"/>
      <c r="J413" s="29"/>
      <c r="K413" s="29"/>
      <c r="L413" s="6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4"/>
      <c r="AF413" s="14"/>
    </row>
    <row r="414" spans="2:32" ht="13.5" hidden="1" customHeight="1">
      <c r="B414" s="13"/>
      <c r="C414" s="2"/>
      <c r="D414" s="13"/>
      <c r="E414" s="13"/>
      <c r="F414" s="13"/>
      <c r="G414" s="13"/>
      <c r="H414" s="13"/>
      <c r="I414" s="13"/>
      <c r="J414" s="113" t="s">
        <v>28</v>
      </c>
      <c r="K414" s="113"/>
      <c r="L414" s="113"/>
      <c r="M414" s="173" t="s">
        <v>1</v>
      </c>
      <c r="N414" s="176" t="e">
        <f>(N411*S411)/(N412+S412)</f>
        <v>#REF!</v>
      </c>
      <c r="O414" s="176"/>
      <c r="P414" s="176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4"/>
      <c r="AF414" s="14"/>
    </row>
    <row r="415" spans="2:32" ht="13.5" hidden="1" customHeight="1">
      <c r="B415" s="13"/>
      <c r="C415" s="2"/>
      <c r="D415" s="13"/>
      <c r="E415" s="13"/>
      <c r="F415" s="13"/>
      <c r="G415" s="13"/>
      <c r="H415" s="13"/>
      <c r="I415" s="13"/>
      <c r="J415" s="113"/>
      <c r="K415" s="113"/>
      <c r="L415" s="113"/>
      <c r="M415" s="113"/>
      <c r="N415" s="176"/>
      <c r="O415" s="176"/>
      <c r="P415" s="176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4"/>
      <c r="AF415" s="14"/>
    </row>
    <row r="416" spans="2:32" ht="13.5" hidden="1" customHeight="1">
      <c r="B416" s="13"/>
      <c r="C416" s="2"/>
      <c r="D416" s="13"/>
      <c r="E416" s="13"/>
      <c r="F416" s="13"/>
      <c r="G416" s="13"/>
      <c r="H416" s="13"/>
      <c r="I416" s="13"/>
      <c r="J416" s="17"/>
      <c r="K416" s="17"/>
      <c r="L416" s="17"/>
      <c r="M416" s="17"/>
      <c r="N416" s="17"/>
      <c r="O416" s="17"/>
      <c r="P416" s="17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4"/>
      <c r="AF416" s="14"/>
    </row>
    <row r="417" spans="2:32" ht="13.5" hidden="1" customHeight="1">
      <c r="B417" s="13"/>
      <c r="C417" s="2"/>
      <c r="D417" s="13"/>
      <c r="E417" s="13"/>
      <c r="F417" s="13"/>
      <c r="G417" s="13"/>
      <c r="H417" s="13"/>
      <c r="I417" s="13"/>
      <c r="J417" s="29"/>
      <c r="K417" s="29"/>
      <c r="L417" s="29"/>
      <c r="M417" s="13"/>
      <c r="N417" s="17"/>
      <c r="O417" s="17"/>
      <c r="P417" s="17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4"/>
      <c r="AF417" s="14"/>
    </row>
    <row r="418" spans="2:32" s="11" customFormat="1" ht="13.5" hidden="1" customHeight="1">
      <c r="B418" s="9"/>
      <c r="C418" s="3"/>
      <c r="D418" s="9"/>
      <c r="E418" s="9"/>
      <c r="F418" s="9" t="s">
        <v>85</v>
      </c>
      <c r="G418" s="9" t="s">
        <v>27</v>
      </c>
      <c r="H418" s="9"/>
      <c r="I418" s="9"/>
      <c r="J418" s="28"/>
      <c r="K418" s="28"/>
      <c r="L418" s="28"/>
      <c r="M418" s="9"/>
      <c r="N418" s="16"/>
      <c r="O418" s="16"/>
      <c r="P418" s="16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10"/>
    </row>
    <row r="419" spans="2:32" ht="13.5" hidden="1" customHeight="1">
      <c r="B419" s="13"/>
      <c r="C419" s="2"/>
      <c r="D419" s="13"/>
      <c r="E419" s="13"/>
      <c r="F419" s="13"/>
      <c r="G419" s="13"/>
      <c r="H419" s="13"/>
      <c r="I419" s="13"/>
      <c r="J419" s="29"/>
      <c r="K419" s="29"/>
      <c r="L419" s="6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4"/>
      <c r="AF419" s="14"/>
    </row>
    <row r="420" spans="2:32" ht="13.5" hidden="1" customHeight="1">
      <c r="B420" s="13"/>
      <c r="C420" s="2"/>
      <c r="D420" s="13"/>
      <c r="E420" s="13"/>
      <c r="F420" s="13"/>
      <c r="G420" s="13"/>
      <c r="H420" s="13"/>
      <c r="I420" s="13"/>
      <c r="J420" s="113" t="s">
        <v>26</v>
      </c>
      <c r="K420" s="113"/>
      <c r="L420" s="113"/>
      <c r="M420" s="173" t="s">
        <v>1</v>
      </c>
      <c r="N420" s="146" t="s">
        <v>74</v>
      </c>
      <c r="O420" s="146"/>
      <c r="P420" s="146"/>
      <c r="Q420" s="146"/>
      <c r="R420" s="146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4"/>
      <c r="AF420" s="14"/>
    </row>
    <row r="421" spans="2:32" ht="13.5" hidden="1" customHeight="1">
      <c r="B421" s="13"/>
      <c r="C421" s="2"/>
      <c r="D421" s="13"/>
      <c r="E421" s="13"/>
      <c r="F421" s="13"/>
      <c r="G421" s="13"/>
      <c r="H421" s="13"/>
      <c r="I421" s="13"/>
      <c r="J421" s="113"/>
      <c r="K421" s="113"/>
      <c r="L421" s="113"/>
      <c r="M421" s="113"/>
      <c r="N421" s="125" t="s">
        <v>28</v>
      </c>
      <c r="O421" s="125"/>
      <c r="P421" s="125"/>
      <c r="Q421" s="125"/>
      <c r="R421" s="125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4"/>
      <c r="AF421" s="14"/>
    </row>
    <row r="422" spans="2:32" ht="13.5" hidden="1" customHeight="1">
      <c r="B422" s="13"/>
      <c r="C422" s="2"/>
      <c r="D422" s="13"/>
      <c r="E422" s="13"/>
      <c r="F422" s="13"/>
      <c r="G422" s="13"/>
      <c r="H422" s="13"/>
      <c r="I422" s="13"/>
      <c r="J422" s="29"/>
      <c r="K422" s="29"/>
      <c r="L422" s="6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4"/>
      <c r="AF422" s="14"/>
    </row>
    <row r="423" spans="2:32" ht="13.5" hidden="1" customHeight="1">
      <c r="B423" s="13"/>
      <c r="C423" s="2"/>
      <c r="D423" s="13"/>
      <c r="E423" s="13"/>
      <c r="F423" s="13"/>
      <c r="G423" s="13"/>
      <c r="H423" s="13"/>
      <c r="I423" s="13"/>
      <c r="J423" s="113" t="s">
        <v>26</v>
      </c>
      <c r="K423" s="113"/>
      <c r="L423" s="113"/>
      <c r="M423" s="13"/>
      <c r="N423" s="174">
        <f>$K$81</f>
        <v>0</v>
      </c>
      <c r="O423" s="174"/>
      <c r="P423" s="174"/>
      <c r="Q423" s="174"/>
      <c r="R423" s="174"/>
      <c r="S423" s="174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4"/>
      <c r="AF423" s="14"/>
    </row>
    <row r="424" spans="2:32" ht="13.5" hidden="1" customHeight="1">
      <c r="B424" s="13"/>
      <c r="C424" s="2"/>
      <c r="D424" s="13"/>
      <c r="E424" s="13"/>
      <c r="F424" s="13"/>
      <c r="G424" s="13"/>
      <c r="H424" s="13"/>
      <c r="I424" s="13"/>
      <c r="J424" s="113"/>
      <c r="K424" s="113"/>
      <c r="L424" s="113"/>
      <c r="M424" s="13"/>
      <c r="N424" s="196" t="e">
        <f>N414</f>
        <v>#REF!</v>
      </c>
      <c r="O424" s="196"/>
      <c r="P424" s="196"/>
      <c r="Q424" s="196"/>
      <c r="R424" s="196"/>
      <c r="S424" s="196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4"/>
      <c r="AF424" s="14"/>
    </row>
    <row r="425" spans="2:32" ht="13.5" hidden="1" customHeight="1">
      <c r="B425" s="13"/>
      <c r="C425" s="2"/>
      <c r="D425" s="13"/>
      <c r="E425" s="13"/>
      <c r="F425" s="13"/>
      <c r="G425" s="13"/>
      <c r="H425" s="13"/>
      <c r="I425" s="13"/>
      <c r="J425" s="29"/>
      <c r="K425" s="29"/>
      <c r="L425" s="6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4"/>
      <c r="AF425" s="14"/>
    </row>
    <row r="426" spans="2:32" ht="13.5" hidden="1" customHeight="1">
      <c r="B426" s="13"/>
      <c r="C426" s="2"/>
      <c r="D426" s="13"/>
      <c r="E426" s="13"/>
      <c r="F426" s="13"/>
      <c r="G426" s="13"/>
      <c r="H426" s="13"/>
      <c r="I426" s="13"/>
      <c r="J426" s="113" t="s">
        <v>26</v>
      </c>
      <c r="K426" s="113"/>
      <c r="L426" s="113"/>
      <c r="M426" s="113" t="s">
        <v>1</v>
      </c>
      <c r="N426" s="113"/>
      <c r="O426" s="176" t="e">
        <f>N423/N424</f>
        <v>#REF!</v>
      </c>
      <c r="P426" s="176"/>
      <c r="Q426" s="176"/>
      <c r="R426" s="176"/>
      <c r="S426" s="13"/>
      <c r="T426" s="113" t="s">
        <v>75</v>
      </c>
      <c r="U426" s="113"/>
      <c r="V426" s="13"/>
      <c r="W426" s="13"/>
      <c r="X426" s="13"/>
      <c r="Y426" s="13"/>
      <c r="Z426" s="13"/>
      <c r="AA426" s="13"/>
      <c r="AB426" s="13"/>
      <c r="AC426" s="13"/>
      <c r="AD426" s="13"/>
      <c r="AE426" s="14"/>
      <c r="AF426" s="14"/>
    </row>
    <row r="427" spans="2:32" ht="13.5" hidden="1" customHeight="1">
      <c r="B427" s="13"/>
      <c r="C427" s="2"/>
      <c r="D427" s="13"/>
      <c r="E427" s="13"/>
      <c r="F427" s="13"/>
      <c r="G427" s="13"/>
      <c r="H427" s="13"/>
      <c r="I427" s="13"/>
      <c r="J427" s="113"/>
      <c r="K427" s="113"/>
      <c r="L427" s="113"/>
      <c r="M427" s="113"/>
      <c r="N427" s="113"/>
      <c r="O427" s="176"/>
      <c r="P427" s="176"/>
      <c r="Q427" s="176"/>
      <c r="R427" s="176"/>
      <c r="S427" s="13"/>
      <c r="T427" s="113"/>
      <c r="U427" s="113"/>
      <c r="V427" s="13"/>
      <c r="W427" s="13"/>
      <c r="X427" s="13"/>
      <c r="Y427" s="13"/>
      <c r="Z427" s="13"/>
      <c r="AA427" s="13"/>
      <c r="AB427" s="13"/>
      <c r="AC427" s="13"/>
      <c r="AD427" s="13"/>
      <c r="AE427" s="14"/>
      <c r="AF427" s="14"/>
    </row>
    <row r="428" spans="2:32" ht="13.5" hidden="1" customHeight="1">
      <c r="B428" s="13"/>
      <c r="C428" s="2"/>
      <c r="D428" s="13"/>
      <c r="E428" s="13"/>
      <c r="F428" s="13"/>
      <c r="G428" s="13"/>
      <c r="H428" s="13"/>
      <c r="I428" s="13"/>
      <c r="J428" s="29"/>
      <c r="K428" s="29"/>
      <c r="L428" s="6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4"/>
      <c r="AF428" s="14"/>
    </row>
    <row r="429" spans="2:32" ht="13.5" hidden="1" customHeight="1">
      <c r="B429" s="13"/>
      <c r="C429" s="2"/>
      <c r="D429" s="13"/>
      <c r="E429" s="13"/>
      <c r="F429" s="13"/>
      <c r="G429" s="13"/>
      <c r="H429" s="13"/>
      <c r="I429" s="13"/>
      <c r="J429" s="29"/>
      <c r="K429" s="29"/>
      <c r="L429" s="6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4"/>
      <c r="AF429" s="14"/>
    </row>
    <row r="430" spans="2:32" ht="13.5" hidden="1" customHeight="1">
      <c r="B430" s="13"/>
      <c r="C430" s="2"/>
      <c r="D430" s="13"/>
      <c r="E430" s="13"/>
      <c r="F430" s="13"/>
      <c r="G430" s="13"/>
      <c r="H430" s="13"/>
      <c r="I430" s="13"/>
      <c r="J430" s="29"/>
      <c r="K430" s="29"/>
      <c r="L430" s="6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4"/>
      <c r="AF430" s="14"/>
    </row>
    <row r="431" spans="2:32" ht="13.5" hidden="1" customHeight="1">
      <c r="B431" s="13"/>
      <c r="C431" s="2"/>
      <c r="D431" s="13"/>
      <c r="E431" s="13"/>
      <c r="F431" s="13"/>
      <c r="G431" s="13"/>
      <c r="H431" s="13"/>
      <c r="I431" s="13"/>
      <c r="J431" s="29"/>
      <c r="K431" s="29"/>
      <c r="L431" s="6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4"/>
      <c r="AF431" s="14"/>
    </row>
    <row r="432" spans="2:32" ht="13.5" hidden="1" customHeight="1">
      <c r="B432" s="21"/>
      <c r="C432" s="34"/>
      <c r="D432" s="21"/>
      <c r="E432" s="21"/>
      <c r="F432" s="21"/>
      <c r="G432" s="21"/>
      <c r="H432" s="21"/>
      <c r="I432" s="21"/>
      <c r="J432" s="35"/>
      <c r="K432" s="35"/>
      <c r="L432" s="22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3"/>
      <c r="AF432" s="14"/>
    </row>
    <row r="433" spans="2:32" ht="13.5" hidden="1" customHeight="1">
      <c r="B433" s="13"/>
      <c r="C433" s="2"/>
      <c r="D433" s="13"/>
      <c r="E433" s="13"/>
      <c r="F433" s="13"/>
      <c r="G433" s="13"/>
      <c r="H433" s="13"/>
      <c r="I433" s="13"/>
      <c r="J433" s="29"/>
      <c r="K433" s="29"/>
      <c r="L433" s="6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4"/>
      <c r="AF433" s="14"/>
    </row>
    <row r="434" spans="2:32" ht="13.5" hidden="1" customHeight="1">
      <c r="B434" s="13"/>
      <c r="C434" s="2"/>
      <c r="D434" s="13"/>
      <c r="E434" s="13"/>
      <c r="F434" s="13"/>
      <c r="G434" s="13"/>
      <c r="H434" s="13"/>
      <c r="I434" s="13"/>
      <c r="J434" s="29"/>
      <c r="K434" s="29"/>
      <c r="L434" s="6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4"/>
      <c r="AF434" s="14"/>
    </row>
    <row r="435" spans="2:32" ht="13.5" hidden="1" customHeight="1">
      <c r="B435" s="13"/>
      <c r="C435" s="2"/>
      <c r="D435" s="13"/>
      <c r="E435" s="13"/>
      <c r="F435" s="13"/>
      <c r="G435" s="13"/>
      <c r="H435" s="13"/>
      <c r="I435" s="13"/>
      <c r="J435" s="29"/>
      <c r="K435" s="29"/>
      <c r="L435" s="6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4"/>
      <c r="AF435" s="14"/>
    </row>
    <row r="436" spans="2:32" s="11" customFormat="1" ht="13.5" hidden="1" customHeight="1">
      <c r="B436" s="9"/>
      <c r="C436" s="3"/>
      <c r="D436" s="9"/>
      <c r="E436" s="9"/>
      <c r="F436" s="9" t="s">
        <v>86</v>
      </c>
      <c r="G436" s="9" t="s">
        <v>65</v>
      </c>
      <c r="H436" s="9"/>
      <c r="I436" s="9"/>
      <c r="J436" s="28"/>
      <c r="K436" s="28"/>
      <c r="L436" s="7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10"/>
    </row>
    <row r="437" spans="2:32" s="11" customFormat="1" ht="13.5" hidden="1" customHeight="1">
      <c r="B437" s="9"/>
      <c r="C437" s="3"/>
      <c r="D437" s="9"/>
      <c r="E437" s="9"/>
      <c r="F437" s="9"/>
      <c r="G437" s="9" t="s">
        <v>27</v>
      </c>
      <c r="H437" s="9"/>
      <c r="I437" s="9"/>
      <c r="J437" s="28"/>
      <c r="K437" s="28"/>
      <c r="L437" s="7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10"/>
      <c r="AF437" s="10"/>
    </row>
    <row r="438" spans="2:32" ht="13.5" hidden="1" customHeight="1">
      <c r="B438" s="13"/>
      <c r="C438" s="2"/>
      <c r="D438" s="13"/>
      <c r="E438" s="13"/>
      <c r="F438" s="13"/>
      <c r="G438" s="13"/>
      <c r="H438" s="13"/>
      <c r="I438" s="13"/>
      <c r="J438" s="29"/>
      <c r="K438" s="29"/>
      <c r="L438" s="6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4"/>
      <c r="AF438" s="14"/>
    </row>
    <row r="439" spans="2:32" ht="13.5" hidden="1" customHeight="1">
      <c r="B439" s="13"/>
      <c r="C439" s="2"/>
      <c r="D439" s="13"/>
      <c r="E439" s="13"/>
      <c r="F439" s="13"/>
      <c r="G439" s="13"/>
      <c r="H439" s="13"/>
      <c r="I439" s="13"/>
      <c r="J439" s="113" t="s">
        <v>29</v>
      </c>
      <c r="K439" s="113"/>
      <c r="L439" s="113"/>
      <c r="M439" s="173" t="s">
        <v>1</v>
      </c>
      <c r="N439" s="113" t="s">
        <v>26</v>
      </c>
      <c r="O439" s="113"/>
      <c r="P439" s="113"/>
      <c r="Q439" s="173" t="s">
        <v>73</v>
      </c>
      <c r="R439" s="173"/>
      <c r="S439" s="113">
        <v>1.25</v>
      </c>
      <c r="T439" s="113"/>
      <c r="U439" s="113"/>
      <c r="V439" s="13"/>
      <c r="W439" s="13"/>
      <c r="X439" s="13"/>
      <c r="Y439" s="13"/>
      <c r="Z439" s="13"/>
      <c r="AA439" s="13"/>
      <c r="AB439" s="13"/>
      <c r="AC439" s="13"/>
      <c r="AD439" s="13"/>
      <c r="AE439" s="14"/>
      <c r="AF439" s="14"/>
    </row>
    <row r="440" spans="2:32" ht="13.5" hidden="1" customHeight="1">
      <c r="B440" s="13"/>
      <c r="C440" s="2"/>
      <c r="D440" s="13"/>
      <c r="E440" s="13"/>
      <c r="F440" s="13"/>
      <c r="G440" s="13"/>
      <c r="H440" s="13"/>
      <c r="I440" s="13"/>
      <c r="J440" s="113"/>
      <c r="K440" s="113"/>
      <c r="L440" s="113"/>
      <c r="M440" s="113"/>
      <c r="N440" s="113"/>
      <c r="O440" s="113"/>
      <c r="P440" s="113"/>
      <c r="Q440" s="173"/>
      <c r="R440" s="173"/>
      <c r="S440" s="113"/>
      <c r="T440" s="113"/>
      <c r="U440" s="113"/>
      <c r="V440" s="13"/>
      <c r="W440" s="13"/>
      <c r="X440" s="13"/>
      <c r="Y440" s="13"/>
      <c r="Z440" s="13"/>
      <c r="AA440" s="13"/>
      <c r="AB440" s="13"/>
      <c r="AC440" s="13"/>
      <c r="AD440" s="13"/>
      <c r="AE440" s="14"/>
      <c r="AF440" s="14"/>
    </row>
    <row r="441" spans="2:32" ht="13.5" hidden="1" customHeight="1">
      <c r="B441" s="13"/>
      <c r="C441" s="2"/>
      <c r="D441" s="13"/>
      <c r="E441" s="13"/>
      <c r="F441" s="13"/>
      <c r="G441" s="13"/>
      <c r="H441" s="13"/>
      <c r="I441" s="13"/>
      <c r="J441" s="29"/>
      <c r="K441" s="29"/>
      <c r="L441" s="6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4"/>
      <c r="AF441" s="14"/>
    </row>
    <row r="442" spans="2:32" ht="13.5" hidden="1" customHeight="1">
      <c r="B442" s="13"/>
      <c r="C442" s="2"/>
      <c r="D442" s="13"/>
      <c r="E442" s="13"/>
      <c r="F442" s="13"/>
      <c r="G442" s="13"/>
      <c r="H442" s="13"/>
      <c r="I442" s="13"/>
      <c r="J442" s="113" t="s">
        <v>29</v>
      </c>
      <c r="K442" s="113"/>
      <c r="L442" s="113"/>
      <c r="M442" s="173" t="s">
        <v>1</v>
      </c>
      <c r="N442" s="176" t="e">
        <f>O425+O426</f>
        <v>#REF!</v>
      </c>
      <c r="O442" s="176"/>
      <c r="P442" s="176"/>
      <c r="Q442" s="173" t="s">
        <v>73</v>
      </c>
      <c r="R442" s="173"/>
      <c r="S442" s="113">
        <v>1.25</v>
      </c>
      <c r="T442" s="113"/>
      <c r="U442" s="113"/>
      <c r="V442" s="13"/>
      <c r="W442" s="13"/>
      <c r="X442" s="13"/>
      <c r="Y442" s="13"/>
      <c r="Z442" s="13"/>
      <c r="AA442" s="13"/>
      <c r="AB442" s="13"/>
      <c r="AC442" s="13"/>
      <c r="AD442" s="13"/>
      <c r="AE442" s="14"/>
      <c r="AF442" s="14"/>
    </row>
    <row r="443" spans="2:32" ht="13.5" hidden="1" customHeight="1">
      <c r="B443" s="13"/>
      <c r="C443" s="2"/>
      <c r="D443" s="13"/>
      <c r="E443" s="13"/>
      <c r="F443" s="13"/>
      <c r="G443" s="13"/>
      <c r="H443" s="13"/>
      <c r="I443" s="13"/>
      <c r="J443" s="113"/>
      <c r="K443" s="113"/>
      <c r="L443" s="113"/>
      <c r="M443" s="113"/>
      <c r="N443" s="176"/>
      <c r="O443" s="176"/>
      <c r="P443" s="176"/>
      <c r="Q443" s="173"/>
      <c r="R443" s="173"/>
      <c r="S443" s="113"/>
      <c r="T443" s="113"/>
      <c r="U443" s="113"/>
      <c r="V443" s="13"/>
      <c r="W443" s="13"/>
      <c r="X443" s="13"/>
      <c r="Y443" s="13"/>
      <c r="Z443" s="13"/>
      <c r="AA443" s="13"/>
      <c r="AB443" s="13"/>
      <c r="AC443" s="13"/>
      <c r="AD443" s="13"/>
      <c r="AE443" s="14"/>
      <c r="AF443" s="14"/>
    </row>
    <row r="444" spans="2:32" ht="13.5" hidden="1" customHeight="1">
      <c r="B444" s="13"/>
      <c r="C444" s="2"/>
      <c r="D444" s="13"/>
      <c r="E444" s="13"/>
      <c r="F444" s="13"/>
      <c r="G444" s="13"/>
      <c r="H444" s="13"/>
      <c r="I444" s="13"/>
      <c r="J444" s="29"/>
      <c r="K444" s="29"/>
      <c r="L444" s="6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4"/>
      <c r="AF444" s="14"/>
    </row>
    <row r="445" spans="2:32" ht="13.5" hidden="1" customHeight="1">
      <c r="B445" s="13"/>
      <c r="C445" s="2"/>
      <c r="D445" s="13"/>
      <c r="E445" s="13"/>
      <c r="F445" s="13"/>
      <c r="G445" s="13"/>
      <c r="H445" s="13"/>
      <c r="I445" s="13"/>
      <c r="J445" s="113" t="s">
        <v>29</v>
      </c>
      <c r="K445" s="113"/>
      <c r="L445" s="113"/>
      <c r="M445" s="173" t="s">
        <v>1</v>
      </c>
      <c r="N445" s="13"/>
      <c r="O445" s="176" t="e">
        <f>N442*S442</f>
        <v>#REF!</v>
      </c>
      <c r="P445" s="176"/>
      <c r="Q445" s="176"/>
      <c r="R445" s="176"/>
      <c r="S445" s="13"/>
      <c r="T445" s="113" t="s">
        <v>75</v>
      </c>
      <c r="U445" s="113"/>
      <c r="V445" s="13"/>
      <c r="W445" s="13"/>
      <c r="X445" s="13"/>
      <c r="Y445" s="13"/>
      <c r="Z445" s="13"/>
      <c r="AA445" s="13"/>
      <c r="AB445" s="13"/>
      <c r="AC445" s="13"/>
      <c r="AD445" s="13"/>
      <c r="AE445" s="14"/>
      <c r="AF445" s="14"/>
    </row>
    <row r="446" spans="2:32" ht="13.5" hidden="1" customHeight="1">
      <c r="B446" s="13"/>
      <c r="C446" s="2"/>
      <c r="D446" s="13"/>
      <c r="E446" s="13"/>
      <c r="F446" s="13"/>
      <c r="G446" s="13"/>
      <c r="H446" s="13"/>
      <c r="I446" s="13"/>
      <c r="J446" s="113"/>
      <c r="K446" s="113"/>
      <c r="L446" s="113"/>
      <c r="M446" s="113"/>
      <c r="N446" s="13"/>
      <c r="O446" s="176"/>
      <c r="P446" s="176"/>
      <c r="Q446" s="176"/>
      <c r="R446" s="176"/>
      <c r="S446" s="13"/>
      <c r="T446" s="113"/>
      <c r="U446" s="113"/>
      <c r="V446" s="13"/>
      <c r="W446" s="13"/>
      <c r="X446" s="13"/>
      <c r="Y446" s="13"/>
      <c r="Z446" s="13"/>
      <c r="AA446" s="13"/>
      <c r="AB446" s="13"/>
      <c r="AC446" s="13"/>
      <c r="AD446" s="13"/>
      <c r="AE446" s="14"/>
      <c r="AF446" s="14"/>
    </row>
    <row r="447" spans="2:32" ht="13.5" hidden="1" customHeight="1">
      <c r="B447" s="13"/>
      <c r="C447" s="2"/>
      <c r="D447" s="13"/>
      <c r="E447" s="13"/>
      <c r="F447" s="13"/>
      <c r="G447" s="13"/>
      <c r="H447" s="13"/>
      <c r="I447" s="13"/>
      <c r="J447" s="29"/>
      <c r="K447" s="29"/>
      <c r="L447" s="6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4"/>
      <c r="AF447" s="14"/>
    </row>
    <row r="448" spans="2:32" ht="13.5" hidden="1" customHeight="1">
      <c r="B448" s="13"/>
      <c r="C448" s="2"/>
      <c r="D448" s="13"/>
      <c r="E448" s="13"/>
      <c r="F448" s="13"/>
      <c r="G448" s="13"/>
      <c r="H448" s="13"/>
      <c r="I448" s="13"/>
      <c r="J448" s="29"/>
      <c r="K448" s="29"/>
      <c r="L448" s="6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4"/>
      <c r="AF448" s="14"/>
    </row>
    <row r="449" spans="2:32" ht="13.5" hidden="1" customHeight="1">
      <c r="B449" s="13"/>
      <c r="C449" s="2"/>
      <c r="D449" s="13"/>
      <c r="E449" s="13"/>
      <c r="F449" s="13"/>
      <c r="G449" s="13"/>
      <c r="H449" s="13"/>
      <c r="I449" s="13"/>
      <c r="J449" s="29"/>
      <c r="K449" s="29"/>
      <c r="L449" s="6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4"/>
      <c r="AF449" s="14"/>
    </row>
    <row r="450" spans="2:32" s="11" customFormat="1" ht="13.5" hidden="1" customHeight="1">
      <c r="B450" s="9"/>
      <c r="C450" s="3"/>
      <c r="D450" s="9"/>
      <c r="E450" s="9" t="s">
        <v>71</v>
      </c>
      <c r="F450" s="9"/>
      <c r="G450" s="9"/>
      <c r="H450" s="9"/>
      <c r="I450" s="9"/>
      <c r="J450" s="28"/>
      <c r="K450" s="28"/>
      <c r="L450" s="7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/>
      <c r="AF450" s="10"/>
    </row>
    <row r="451" spans="2:32" ht="13.5" hidden="1" customHeight="1">
      <c r="B451" s="13"/>
      <c r="C451" s="2"/>
      <c r="D451" s="13"/>
      <c r="E451" s="13"/>
      <c r="F451" s="13"/>
      <c r="G451" s="13"/>
      <c r="H451" s="13"/>
      <c r="I451" s="13"/>
      <c r="J451" s="29"/>
      <c r="K451" s="29"/>
      <c r="L451" s="6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4"/>
      <c r="AF451" s="14"/>
    </row>
    <row r="452" spans="2:32" ht="13.5" hidden="1" customHeight="1">
      <c r="B452" s="13"/>
      <c r="C452" s="2"/>
      <c r="D452" s="13"/>
      <c r="E452" s="13"/>
      <c r="F452" s="13"/>
      <c r="G452" s="13"/>
      <c r="H452" s="13"/>
      <c r="I452" s="13"/>
      <c r="J452" s="29"/>
      <c r="K452" s="29"/>
      <c r="L452" s="6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4"/>
      <c r="AF452" s="14"/>
    </row>
    <row r="453" spans="2:32" ht="13.5" hidden="1" customHeight="1">
      <c r="B453" s="13"/>
      <c r="C453" s="2"/>
      <c r="D453" s="13"/>
      <c r="E453" s="13"/>
      <c r="F453" s="13"/>
      <c r="G453" s="13"/>
      <c r="H453" s="13"/>
      <c r="I453" s="13"/>
      <c r="J453" s="29"/>
      <c r="K453" s="29"/>
      <c r="L453" s="6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4"/>
      <c r="AF453" s="14"/>
    </row>
    <row r="454" spans="2:32" ht="13.5" hidden="1" customHeight="1">
      <c r="B454" s="13"/>
      <c r="C454" s="2"/>
      <c r="D454" s="13"/>
      <c r="E454" s="13"/>
      <c r="F454" s="13"/>
      <c r="G454" s="13"/>
      <c r="H454" s="13"/>
      <c r="I454" s="13"/>
      <c r="J454" s="29"/>
      <c r="K454" s="29"/>
      <c r="L454" s="6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4"/>
      <c r="AF454" s="14"/>
    </row>
    <row r="455" spans="2:32" ht="13.5" hidden="1" customHeight="1">
      <c r="B455" s="13"/>
      <c r="C455" s="2"/>
      <c r="D455" s="13"/>
      <c r="E455" s="13"/>
      <c r="F455" s="13"/>
      <c r="G455" s="13"/>
      <c r="H455" s="13"/>
      <c r="I455" s="13"/>
      <c r="J455" s="29"/>
      <c r="K455" s="29"/>
      <c r="L455" s="6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4"/>
      <c r="AF455" s="14"/>
    </row>
    <row r="456" spans="2:32" ht="13.5" hidden="1" customHeight="1">
      <c r="B456" s="13"/>
      <c r="C456" s="2"/>
      <c r="D456" s="13"/>
      <c r="E456" s="13"/>
      <c r="F456" s="13"/>
      <c r="G456" s="13"/>
      <c r="H456" s="13"/>
      <c r="I456" s="13"/>
      <c r="J456" s="29"/>
      <c r="K456" s="29"/>
      <c r="L456" s="6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4"/>
      <c r="AF456" s="14"/>
    </row>
    <row r="457" spans="2:32" ht="13.5" hidden="1" customHeight="1">
      <c r="B457" s="13"/>
      <c r="C457" s="2"/>
      <c r="D457" s="13"/>
      <c r="E457" s="13"/>
      <c r="F457" s="13"/>
      <c r="G457" s="13"/>
      <c r="H457" s="13"/>
      <c r="I457" s="13"/>
      <c r="J457" s="29"/>
      <c r="K457" s="29"/>
      <c r="L457" s="6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4"/>
      <c r="AF457" s="14"/>
    </row>
    <row r="458" spans="2:32" ht="13.5" hidden="1" customHeight="1">
      <c r="B458" s="13"/>
      <c r="C458" s="2"/>
      <c r="D458" s="13"/>
      <c r="E458" s="13"/>
      <c r="F458" s="13"/>
      <c r="G458" s="13"/>
      <c r="H458" s="13"/>
      <c r="I458" s="13"/>
      <c r="J458" s="29"/>
      <c r="K458" s="29"/>
      <c r="L458" s="6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4"/>
      <c r="AF458" s="14"/>
    </row>
    <row r="459" spans="2:32" ht="13.5" hidden="1" customHeight="1">
      <c r="B459" s="13"/>
      <c r="C459" s="2"/>
      <c r="D459" s="13"/>
      <c r="E459" s="13"/>
      <c r="F459" s="13"/>
      <c r="G459" s="13"/>
      <c r="H459" s="13"/>
      <c r="I459" s="13"/>
      <c r="J459" s="29"/>
      <c r="K459" s="29"/>
      <c r="L459" s="6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4"/>
      <c r="AF459" s="14"/>
    </row>
    <row r="460" spans="2:32" ht="13.5" hidden="1" customHeight="1">
      <c r="B460" s="13"/>
      <c r="C460" s="2"/>
      <c r="D460" s="13"/>
      <c r="E460" s="13"/>
      <c r="F460" s="13"/>
      <c r="G460" s="13"/>
      <c r="H460" s="13"/>
      <c r="I460" s="13"/>
      <c r="J460" s="29"/>
      <c r="K460" s="29"/>
      <c r="L460" s="6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4"/>
      <c r="AF460" s="14"/>
    </row>
    <row r="461" spans="2:32" ht="13.5" hidden="1" customHeight="1">
      <c r="B461" s="13"/>
      <c r="C461" s="2"/>
      <c r="D461" s="13"/>
      <c r="E461" s="13"/>
      <c r="F461" s="13"/>
      <c r="G461" s="13"/>
      <c r="H461" s="13"/>
      <c r="I461" s="13"/>
      <c r="J461" s="29"/>
      <c r="K461" s="29"/>
      <c r="L461" s="6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4"/>
      <c r="AF461" s="14"/>
    </row>
    <row r="462" spans="2:32" ht="13.5" hidden="1" customHeight="1">
      <c r="B462" s="13"/>
      <c r="C462" s="2"/>
      <c r="D462" s="13"/>
      <c r="E462" s="13"/>
      <c r="F462" s="13"/>
      <c r="G462" s="13"/>
      <c r="H462" s="13"/>
      <c r="I462" s="13"/>
      <c r="J462" s="29"/>
      <c r="K462" s="29"/>
      <c r="L462" s="6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4"/>
      <c r="AF462" s="14"/>
    </row>
    <row r="463" spans="2:32" ht="13.5" hidden="1" customHeight="1">
      <c r="B463" s="13"/>
      <c r="C463" s="2"/>
      <c r="D463" s="13"/>
      <c r="E463" s="13"/>
      <c r="F463" s="13"/>
      <c r="G463" s="13"/>
      <c r="H463" s="13"/>
      <c r="I463" s="13"/>
      <c r="J463" s="29"/>
      <c r="K463" s="29"/>
      <c r="L463" s="6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4"/>
      <c r="AF463" s="14"/>
    </row>
    <row r="464" spans="2:32" ht="13.5" hidden="1" customHeight="1">
      <c r="B464" s="13"/>
      <c r="C464" s="2"/>
      <c r="D464" s="13"/>
      <c r="E464" s="13"/>
      <c r="F464" s="13"/>
      <c r="G464" s="13"/>
      <c r="H464" s="13"/>
      <c r="I464" s="13"/>
      <c r="J464" s="29"/>
      <c r="K464" s="29"/>
      <c r="L464" s="6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4"/>
      <c r="AF464" s="14"/>
    </row>
    <row r="465" spans="2:32" ht="13.5" hidden="1" customHeight="1">
      <c r="B465" s="13"/>
      <c r="C465" s="2"/>
      <c r="D465" s="13"/>
      <c r="E465" s="13"/>
      <c r="F465" s="13"/>
      <c r="G465" s="13"/>
      <c r="H465" s="13"/>
      <c r="I465" s="13"/>
      <c r="J465" s="29"/>
      <c r="K465" s="29"/>
      <c r="L465" s="6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4"/>
      <c r="AF465" s="14"/>
    </row>
    <row r="466" spans="2:32" ht="13.5" hidden="1" customHeight="1">
      <c r="B466" s="13"/>
      <c r="C466" s="2"/>
      <c r="D466" s="13"/>
      <c r="E466" s="13"/>
      <c r="F466" s="13"/>
      <c r="G466" s="13"/>
      <c r="H466" s="13"/>
      <c r="I466" s="13"/>
      <c r="J466" s="29"/>
      <c r="K466" s="29"/>
      <c r="L466" s="6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4"/>
      <c r="AF466" s="14"/>
    </row>
    <row r="467" spans="2:32" ht="13.5" hidden="1" customHeight="1">
      <c r="B467" s="13"/>
      <c r="C467" s="2"/>
      <c r="D467" s="13"/>
      <c r="E467" s="13"/>
      <c r="F467" s="13"/>
      <c r="G467" s="13"/>
      <c r="H467" s="13"/>
      <c r="I467" s="13"/>
      <c r="J467" s="29"/>
      <c r="K467" s="29"/>
      <c r="L467" s="6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4"/>
      <c r="AF467" s="14"/>
    </row>
    <row r="468" spans="2:32" ht="13.5" hidden="1" customHeight="1">
      <c r="B468" s="13"/>
      <c r="C468" s="2"/>
      <c r="D468" s="13"/>
      <c r="E468" s="13"/>
      <c r="F468" s="13"/>
      <c r="G468" s="13"/>
      <c r="H468" s="13"/>
      <c r="I468" s="13"/>
      <c r="J468" s="29"/>
      <c r="K468" s="29"/>
      <c r="L468" s="6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4"/>
      <c r="AF468" s="14"/>
    </row>
    <row r="469" spans="2:32" ht="13.5" hidden="1" customHeight="1">
      <c r="B469" s="13"/>
      <c r="C469" s="2"/>
      <c r="D469" s="13"/>
      <c r="E469" s="13"/>
      <c r="F469" s="13"/>
      <c r="G469" s="13"/>
      <c r="H469" s="13"/>
      <c r="I469" s="13"/>
      <c r="J469" s="29"/>
      <c r="K469" s="29"/>
      <c r="L469" s="6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4"/>
      <c r="AF469" s="14"/>
    </row>
    <row r="470" spans="2:32" ht="13.5" hidden="1" customHeight="1">
      <c r="B470" s="13"/>
      <c r="C470" s="2"/>
      <c r="D470" s="13"/>
      <c r="E470" s="13"/>
      <c r="F470" s="13"/>
      <c r="G470" s="13"/>
      <c r="H470" s="13"/>
      <c r="I470" s="13"/>
      <c r="J470" s="29"/>
      <c r="K470" s="29"/>
      <c r="L470" s="6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4"/>
      <c r="AF470" s="14"/>
    </row>
    <row r="471" spans="2:32" ht="13.5" hidden="1" customHeight="1">
      <c r="B471" s="13"/>
      <c r="C471" s="2"/>
      <c r="D471" s="13"/>
      <c r="E471" s="13"/>
      <c r="F471" s="13"/>
      <c r="G471" s="13"/>
      <c r="H471" s="13"/>
      <c r="I471" s="13"/>
      <c r="J471" s="29"/>
      <c r="K471" s="29"/>
      <c r="L471" s="6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4"/>
      <c r="AF471" s="14"/>
    </row>
    <row r="472" spans="2:32" ht="13.5" hidden="1" customHeight="1">
      <c r="B472" s="13"/>
      <c r="C472" s="2"/>
      <c r="D472" s="13"/>
      <c r="E472" s="13"/>
      <c r="F472" s="13"/>
      <c r="G472" s="13"/>
      <c r="H472" s="13"/>
      <c r="I472" s="13"/>
      <c r="J472" s="29"/>
      <c r="K472" s="29"/>
      <c r="L472" s="6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4"/>
      <c r="AF472" s="14"/>
    </row>
    <row r="473" spans="2:32" ht="13.5" hidden="1" customHeight="1">
      <c r="B473" s="13"/>
      <c r="C473" s="2"/>
      <c r="D473" s="13"/>
      <c r="E473" s="13"/>
      <c r="F473" s="13"/>
      <c r="G473" s="13"/>
      <c r="H473" s="13"/>
      <c r="I473" s="13"/>
      <c r="J473" s="29"/>
      <c r="K473" s="29"/>
      <c r="L473" s="6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4"/>
      <c r="AF473" s="14"/>
    </row>
    <row r="474" spans="2:32" ht="13.5" hidden="1" customHeight="1">
      <c r="B474" s="13"/>
      <c r="C474" s="2"/>
      <c r="D474" s="13"/>
      <c r="E474" s="13"/>
      <c r="F474" s="13"/>
      <c r="G474" s="13"/>
      <c r="H474" s="13"/>
      <c r="I474" s="13"/>
      <c r="J474" s="29"/>
      <c r="K474" s="29"/>
      <c r="L474" s="6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4"/>
      <c r="AF474" s="14"/>
    </row>
    <row r="475" spans="2:32" ht="13.5" hidden="1" customHeight="1">
      <c r="B475" s="13"/>
      <c r="C475" s="2"/>
      <c r="D475" s="13"/>
      <c r="E475" s="13"/>
      <c r="F475" s="13"/>
      <c r="G475" s="13"/>
      <c r="H475" s="13"/>
      <c r="I475" s="13"/>
      <c r="J475" s="29"/>
      <c r="K475" s="29"/>
      <c r="L475" s="6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4"/>
      <c r="AF475" s="14"/>
    </row>
    <row r="476" spans="2:32" ht="13.5" hidden="1" customHeight="1">
      <c r="B476" s="13"/>
      <c r="C476" s="2"/>
      <c r="D476" s="13"/>
      <c r="E476" s="13"/>
      <c r="F476" s="13"/>
      <c r="G476" s="13"/>
      <c r="H476" s="13"/>
      <c r="I476" s="13"/>
      <c r="J476" s="29"/>
      <c r="K476" s="29"/>
      <c r="L476" s="6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4"/>
      <c r="AF476" s="14"/>
    </row>
    <row r="477" spans="2:32" ht="13.5" hidden="1" customHeight="1">
      <c r="B477" s="13"/>
      <c r="C477" s="2"/>
      <c r="D477" s="13"/>
      <c r="E477" s="13"/>
      <c r="F477" s="13"/>
      <c r="G477" s="13"/>
      <c r="H477" s="13"/>
      <c r="I477" s="13"/>
      <c r="J477" s="29"/>
      <c r="K477" s="29"/>
      <c r="L477" s="6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4"/>
      <c r="AF477" s="14"/>
    </row>
    <row r="478" spans="2:32" ht="13.5" hidden="1" customHeight="1">
      <c r="B478" s="13"/>
      <c r="C478" s="2"/>
      <c r="D478" s="13"/>
      <c r="E478" s="13"/>
      <c r="F478" s="13"/>
      <c r="G478" s="13"/>
      <c r="H478" s="13"/>
      <c r="I478" s="13"/>
      <c r="J478" s="29"/>
      <c r="K478" s="29"/>
      <c r="L478" s="6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4"/>
      <c r="AF478" s="14"/>
    </row>
    <row r="479" spans="2:32" ht="13.5" hidden="1" customHeight="1">
      <c r="B479" s="13"/>
      <c r="C479" s="2"/>
      <c r="D479" s="13"/>
      <c r="E479" s="13"/>
      <c r="F479" s="13"/>
      <c r="G479" s="13"/>
      <c r="H479" s="13"/>
      <c r="I479" s="13"/>
      <c r="J479" s="29"/>
      <c r="K479" s="29"/>
      <c r="L479" s="6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4"/>
      <c r="AF479" s="14"/>
    </row>
    <row r="480" spans="2:32" ht="13.5" hidden="1" customHeight="1">
      <c r="B480" s="21"/>
      <c r="C480" s="34"/>
      <c r="D480" s="21"/>
      <c r="E480" s="21"/>
      <c r="F480" s="21"/>
      <c r="G480" s="21"/>
      <c r="H480" s="21"/>
      <c r="I480" s="21"/>
      <c r="J480" s="35"/>
      <c r="K480" s="35"/>
      <c r="L480" s="22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3"/>
      <c r="AF480" s="14"/>
    </row>
    <row r="481" spans="2:32" ht="13.5" hidden="1" customHeight="1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4"/>
      <c r="AF481" s="14"/>
    </row>
    <row r="482" spans="2:32" ht="13.5" hidden="1" customHeight="1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4"/>
      <c r="AF482" s="14"/>
    </row>
    <row r="483" spans="2:32" s="11" customFormat="1" ht="13.5" hidden="1" customHeight="1">
      <c r="B483" s="9"/>
      <c r="C483" s="3"/>
      <c r="D483" s="9"/>
      <c r="E483" s="9" t="s">
        <v>87</v>
      </c>
      <c r="F483" s="9"/>
      <c r="G483" s="9"/>
      <c r="H483" s="9"/>
      <c r="I483" s="9"/>
      <c r="J483" s="28"/>
      <c r="K483" s="28"/>
      <c r="L483" s="28"/>
      <c r="M483" s="9"/>
      <c r="N483" s="16"/>
      <c r="O483" s="16"/>
      <c r="P483" s="16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10"/>
      <c r="AF483" s="10"/>
    </row>
    <row r="484" spans="2:32" ht="13.5" hidden="1" customHeight="1">
      <c r="B484" s="13"/>
      <c r="C484" s="2"/>
      <c r="D484" s="13"/>
      <c r="E484" s="13"/>
      <c r="F484" s="13"/>
      <c r="G484" s="13"/>
      <c r="H484" s="13"/>
      <c r="I484" s="13"/>
      <c r="J484" s="29"/>
      <c r="K484" s="29"/>
      <c r="L484" s="29"/>
      <c r="M484" s="13"/>
      <c r="N484" s="17"/>
      <c r="O484" s="17"/>
      <c r="P484" s="17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4"/>
      <c r="AF484" s="14"/>
    </row>
    <row r="485" spans="2:32" ht="13.5" hidden="1" customHeight="1">
      <c r="B485" s="13"/>
      <c r="C485" s="2"/>
      <c r="D485" s="13"/>
      <c r="E485" s="13"/>
      <c r="F485" s="13"/>
      <c r="G485" s="13"/>
      <c r="H485" s="13"/>
      <c r="I485" s="13" t="s">
        <v>64</v>
      </c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4"/>
      <c r="AF485" s="14"/>
    </row>
    <row r="486" spans="2:32" ht="13.5" hidden="1" customHeight="1">
      <c r="B486" s="13"/>
      <c r="C486" s="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4"/>
      <c r="AF486" s="14"/>
    </row>
    <row r="487" spans="2:32" ht="13.5" hidden="1" customHeight="1">
      <c r="B487" s="13"/>
      <c r="C487" s="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4"/>
      <c r="AF487" s="14"/>
    </row>
    <row r="488" spans="2:32" ht="13.5" hidden="1" customHeight="1">
      <c r="B488" s="13"/>
      <c r="C488" s="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4"/>
      <c r="AF488" s="14"/>
    </row>
    <row r="489" spans="2:32" ht="13.5" hidden="1" customHeight="1">
      <c r="B489" s="13"/>
      <c r="C489" s="2"/>
      <c r="D489" s="13"/>
      <c r="E489" s="13"/>
      <c r="F489" s="13"/>
      <c r="G489" s="13"/>
      <c r="H489" s="13"/>
      <c r="I489" s="13"/>
      <c r="J489" s="13"/>
      <c r="K489" s="13"/>
      <c r="L489" s="13"/>
      <c r="M489" s="13" t="s">
        <v>88</v>
      </c>
      <c r="N489" s="30" t="s">
        <v>1</v>
      </c>
      <c r="O489" s="177" t="e">
        <f>#REF!</f>
        <v>#REF!</v>
      </c>
      <c r="P489" s="177"/>
      <c r="Q489" s="177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4"/>
      <c r="AF489" s="14"/>
    </row>
    <row r="490" spans="2:32" ht="13.5" hidden="1" customHeight="1">
      <c r="B490" s="13"/>
      <c r="C490" s="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30"/>
      <c r="O490" s="125"/>
      <c r="P490" s="125"/>
      <c r="Q490" s="12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4"/>
      <c r="AF490" s="14"/>
    </row>
    <row r="491" spans="2:32" ht="13.5" hidden="1" customHeight="1">
      <c r="B491" s="13"/>
      <c r="C491" s="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30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4"/>
      <c r="AF491" s="14"/>
    </row>
    <row r="492" spans="2:32" ht="13.5" hidden="1" customHeight="1">
      <c r="B492" s="13"/>
      <c r="C492" s="2"/>
      <c r="D492" s="13"/>
      <c r="E492" s="13"/>
      <c r="F492" s="13"/>
      <c r="G492" s="13"/>
      <c r="H492" s="13"/>
      <c r="I492" s="13"/>
      <c r="J492" s="13"/>
      <c r="K492" s="13"/>
      <c r="L492" s="13"/>
      <c r="M492" s="13" t="s">
        <v>89</v>
      </c>
      <c r="N492" s="30" t="s">
        <v>1</v>
      </c>
      <c r="O492" s="13" t="s">
        <v>90</v>
      </c>
      <c r="P492" s="13"/>
      <c r="Q492" s="13"/>
      <c r="R492" s="13"/>
      <c r="S492" s="13"/>
      <c r="T492" s="13"/>
      <c r="U492" s="13"/>
      <c r="V492" s="177" t="e">
        <f>#REF!</f>
        <v>#REF!</v>
      </c>
      <c r="W492" s="177"/>
      <c r="X492" s="13"/>
      <c r="Y492" s="13"/>
      <c r="Z492" s="13"/>
      <c r="AA492" s="13"/>
      <c r="AB492" s="13"/>
      <c r="AC492" s="13"/>
      <c r="AD492" s="13"/>
      <c r="AE492" s="14"/>
      <c r="AF492" s="14"/>
    </row>
    <row r="493" spans="2:32" ht="13.5" hidden="1" customHeight="1">
      <c r="B493" s="13"/>
      <c r="C493" s="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4"/>
      <c r="AF493" s="14"/>
    </row>
    <row r="494" spans="2:32" ht="13.5" hidden="1" customHeight="1">
      <c r="B494" s="13"/>
      <c r="C494" s="2"/>
      <c r="D494" s="13"/>
      <c r="E494" s="13"/>
      <c r="F494" s="13"/>
      <c r="G494" s="13"/>
      <c r="H494" s="13"/>
      <c r="I494" s="13"/>
      <c r="J494" s="13"/>
      <c r="K494" s="13"/>
      <c r="L494" s="13"/>
      <c r="M494" s="13" t="s">
        <v>94</v>
      </c>
      <c r="N494" s="30" t="s">
        <v>1</v>
      </c>
      <c r="O494" s="177" t="e">
        <f>#REF!</f>
        <v>#REF!</v>
      </c>
      <c r="P494" s="177"/>
      <c r="Q494" s="177"/>
      <c r="R494" s="13"/>
      <c r="S494" s="13"/>
      <c r="T494" s="13"/>
      <c r="U494" s="13"/>
      <c r="V494" s="125"/>
      <c r="W494" s="125"/>
      <c r="X494" s="13"/>
      <c r="Y494" s="13"/>
      <c r="Z494" s="13"/>
      <c r="AA494" s="13"/>
      <c r="AB494" s="13"/>
      <c r="AC494" s="13"/>
      <c r="AD494" s="13"/>
      <c r="AE494" s="14"/>
      <c r="AF494" s="14"/>
    </row>
    <row r="495" spans="2:32" ht="13.5" hidden="1" customHeight="1">
      <c r="B495" s="13"/>
      <c r="C495" s="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4"/>
      <c r="AF495" s="14"/>
    </row>
    <row r="496" spans="2:32" ht="13.5" hidden="1" customHeight="1">
      <c r="B496" s="13"/>
      <c r="C496" s="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4"/>
      <c r="AF496" s="14"/>
    </row>
    <row r="497" spans="2:32" ht="13.5" hidden="1" customHeight="1">
      <c r="B497" s="13"/>
      <c r="C497" s="2"/>
      <c r="D497" s="13"/>
      <c r="E497" s="13"/>
      <c r="F497" s="13"/>
      <c r="G497" s="13"/>
      <c r="H497" s="13"/>
      <c r="I497" s="13"/>
      <c r="J497" s="13"/>
      <c r="K497" s="13"/>
      <c r="L497" s="13"/>
      <c r="M497" s="13" t="s">
        <v>66</v>
      </c>
      <c r="N497" s="30" t="s">
        <v>1</v>
      </c>
      <c r="O497" s="177" t="e">
        <f>#REF!</f>
        <v>#REF!</v>
      </c>
      <c r="P497" s="177"/>
      <c r="Q497" s="177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4"/>
      <c r="AF497" s="14"/>
    </row>
    <row r="498" spans="2:32" ht="13.5" hidden="1" customHeight="1">
      <c r="B498" s="13"/>
      <c r="C498" s="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4"/>
      <c r="AF498" s="14"/>
    </row>
    <row r="499" spans="2:32" ht="13.5" hidden="1" customHeight="1">
      <c r="B499" s="13"/>
      <c r="C499" s="2"/>
      <c r="D499" s="13"/>
      <c r="E499" s="13"/>
      <c r="F499" s="13"/>
      <c r="G499" s="13"/>
      <c r="H499" s="13"/>
      <c r="I499" s="13"/>
      <c r="J499" s="13"/>
      <c r="K499" s="13"/>
      <c r="L499" s="13"/>
      <c r="M499" s="13" t="s">
        <v>60</v>
      </c>
      <c r="N499" s="13"/>
      <c r="O499" s="30" t="s">
        <v>1</v>
      </c>
      <c r="P499" s="177" t="e">
        <f>$N$382</f>
        <v>#REF!</v>
      </c>
      <c r="Q499" s="177"/>
      <c r="R499" s="177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4"/>
      <c r="AF499" s="14"/>
    </row>
    <row r="500" spans="2:32" ht="13.5" hidden="1" customHeight="1">
      <c r="B500" s="13"/>
      <c r="C500" s="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4"/>
      <c r="AF500" s="14"/>
    </row>
    <row r="501" spans="2:32" ht="13.5" hidden="1" customHeight="1">
      <c r="B501" s="13"/>
      <c r="C501" s="2"/>
      <c r="D501" s="13"/>
      <c r="E501" s="13"/>
      <c r="F501" s="13"/>
      <c r="G501" s="13"/>
      <c r="H501" s="13"/>
      <c r="I501" s="13"/>
      <c r="J501" s="13"/>
      <c r="K501" s="13"/>
      <c r="L501" s="13"/>
      <c r="M501" s="13" t="s">
        <v>45</v>
      </c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4"/>
      <c r="AF501" s="14"/>
    </row>
    <row r="502" spans="2:32" ht="13.5" hidden="1" customHeight="1">
      <c r="B502" s="13"/>
      <c r="C502" s="2"/>
      <c r="D502" s="13"/>
      <c r="E502" s="13"/>
      <c r="F502" s="13"/>
      <c r="G502" s="13"/>
      <c r="H502" s="13"/>
      <c r="I502" s="13"/>
      <c r="J502" s="13"/>
      <c r="K502" s="13"/>
      <c r="L502" s="13"/>
      <c r="M502" s="13" t="s">
        <v>46</v>
      </c>
      <c r="N502" s="13"/>
      <c r="O502" s="13" t="s">
        <v>47</v>
      </c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4"/>
      <c r="AF502" s="14"/>
    </row>
    <row r="503" spans="2:32" ht="13.5" hidden="1" customHeight="1">
      <c r="B503" s="13"/>
      <c r="C503" s="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4"/>
      <c r="AF503" s="14"/>
    </row>
    <row r="504" spans="2:32" ht="13.5" hidden="1" customHeight="1">
      <c r="B504" s="13"/>
      <c r="C504" s="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4"/>
      <c r="AF504" s="14"/>
    </row>
    <row r="505" spans="2:32" s="11" customFormat="1" ht="13.5" hidden="1" customHeight="1">
      <c r="B505" s="9"/>
      <c r="C505" s="9"/>
      <c r="D505" s="9" t="s">
        <v>48</v>
      </c>
      <c r="E505" s="9"/>
      <c r="F505" s="9"/>
      <c r="G505" s="9"/>
      <c r="H505" s="9"/>
      <c r="I505" s="9"/>
      <c r="J505" s="28"/>
      <c r="K505" s="28"/>
      <c r="L505" s="28"/>
      <c r="M505" s="9"/>
      <c r="N505" s="16"/>
      <c r="O505" s="16"/>
      <c r="P505" s="16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0"/>
      <c r="AF505" s="10"/>
    </row>
    <row r="506" spans="2:32" s="11" customFormat="1" ht="13.5" hidden="1" customHeight="1">
      <c r="B506" s="9"/>
      <c r="C506" s="3"/>
      <c r="D506" s="9" t="s">
        <v>76</v>
      </c>
      <c r="E506" s="9"/>
      <c r="F506" s="9"/>
      <c r="G506" s="9"/>
      <c r="H506" s="185">
        <v>1</v>
      </c>
      <c r="I506" s="185"/>
      <c r="J506" s="9" t="s">
        <v>147</v>
      </c>
      <c r="K506" s="28"/>
      <c r="L506" s="28"/>
      <c r="M506" s="9"/>
      <c r="N506" s="16"/>
      <c r="O506" s="16"/>
      <c r="P506" s="16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0"/>
      <c r="AF506" s="10"/>
    </row>
    <row r="507" spans="2:32" s="11" customFormat="1" ht="13.5" hidden="1" customHeight="1">
      <c r="B507" s="9"/>
      <c r="C507" s="3"/>
      <c r="D507" s="9" t="s">
        <v>158</v>
      </c>
      <c r="E507" s="9"/>
      <c r="F507" s="9"/>
      <c r="G507" s="9"/>
      <c r="H507" s="9"/>
      <c r="I507" s="9"/>
      <c r="J507" s="28"/>
      <c r="K507" s="32" t="s">
        <v>1</v>
      </c>
      <c r="L507" s="204">
        <v>15</v>
      </c>
      <c r="M507" s="204"/>
      <c r="N507" s="204"/>
      <c r="O507" s="33" t="s">
        <v>77</v>
      </c>
      <c r="P507" s="16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10"/>
      <c r="AF507" s="10"/>
    </row>
    <row r="508" spans="2:32" ht="13.5" hidden="1" customHeight="1">
      <c r="B508" s="13"/>
      <c r="C508" s="2"/>
      <c r="D508" s="13"/>
      <c r="E508" s="13"/>
      <c r="F508" s="13"/>
      <c r="G508" s="13"/>
      <c r="H508" s="13"/>
      <c r="I508" s="13"/>
      <c r="J508" s="29"/>
      <c r="K508" s="29"/>
      <c r="L508" s="29"/>
      <c r="M508" s="13"/>
      <c r="N508" s="17"/>
      <c r="O508" s="17"/>
      <c r="P508" s="17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4"/>
      <c r="AF508" s="14"/>
    </row>
    <row r="509" spans="2:32" ht="13.5" hidden="1" customHeight="1">
      <c r="B509" s="13"/>
      <c r="C509" s="2"/>
      <c r="D509" s="13"/>
      <c r="E509" s="13"/>
      <c r="F509" s="13"/>
      <c r="G509" s="13"/>
      <c r="H509" s="13"/>
      <c r="I509" s="13"/>
      <c r="J509" s="29"/>
      <c r="K509" s="29"/>
      <c r="L509" s="6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4"/>
      <c r="AF509" s="14"/>
    </row>
    <row r="510" spans="2:32" ht="13.5" hidden="1" customHeight="1">
      <c r="B510" s="13"/>
      <c r="C510" s="2"/>
      <c r="D510" s="13"/>
      <c r="E510" s="13"/>
      <c r="F510" s="113" t="s">
        <v>163</v>
      </c>
      <c r="G510" s="113"/>
      <c r="H510" s="113"/>
      <c r="I510" s="113"/>
      <c r="J510" s="113"/>
      <c r="K510" s="113"/>
      <c r="L510" s="113"/>
      <c r="M510" s="173" t="s">
        <v>1</v>
      </c>
      <c r="N510" s="146" t="s">
        <v>159</v>
      </c>
      <c r="O510" s="146"/>
      <c r="P510" s="146"/>
      <c r="Q510" s="146"/>
      <c r="R510" s="146"/>
      <c r="S510" s="146"/>
      <c r="T510" s="146"/>
      <c r="U510" s="146"/>
      <c r="V510" s="113" t="s">
        <v>162</v>
      </c>
      <c r="W510" s="113"/>
      <c r="X510" s="113"/>
      <c r="Y510" s="113"/>
      <c r="Z510" s="113"/>
      <c r="AA510" s="113"/>
      <c r="AB510" s="113"/>
      <c r="AC510" s="13"/>
      <c r="AD510" s="13"/>
      <c r="AE510" s="14"/>
      <c r="AF510" s="14"/>
    </row>
    <row r="511" spans="2:32" ht="13.5" hidden="1" customHeight="1">
      <c r="B511" s="13"/>
      <c r="C511" s="2"/>
      <c r="D511" s="13"/>
      <c r="E511" s="13"/>
      <c r="F511" s="113"/>
      <c r="G511" s="113"/>
      <c r="H511" s="113"/>
      <c r="I511" s="113"/>
      <c r="J511" s="113"/>
      <c r="K511" s="113"/>
      <c r="L511" s="113"/>
      <c r="M511" s="113"/>
      <c r="N511" s="126" t="s">
        <v>160</v>
      </c>
      <c r="O511" s="126"/>
      <c r="P511" s="126"/>
      <c r="Q511" s="126"/>
      <c r="R511" s="126"/>
      <c r="S511" s="126"/>
      <c r="T511" s="126"/>
      <c r="U511" s="126"/>
      <c r="V511" s="113"/>
      <c r="W511" s="113"/>
      <c r="X511" s="113"/>
      <c r="Y511" s="113"/>
      <c r="Z511" s="113"/>
      <c r="AA511" s="113"/>
      <c r="AB511" s="113"/>
      <c r="AC511" s="13"/>
      <c r="AD511" s="13"/>
      <c r="AE511" s="14"/>
      <c r="AF511" s="14"/>
    </row>
    <row r="512" spans="2:32" ht="13.5" hidden="1" customHeight="1">
      <c r="B512" s="13"/>
      <c r="C512" s="2"/>
      <c r="D512" s="13"/>
      <c r="E512" s="13"/>
      <c r="F512" s="13"/>
      <c r="G512" s="13"/>
      <c r="H512" s="13"/>
      <c r="I512" s="13"/>
      <c r="J512" s="29"/>
      <c r="K512" s="29"/>
      <c r="L512" s="6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4"/>
      <c r="AF512" s="14"/>
    </row>
    <row r="513" spans="2:32" ht="13.5" hidden="1" customHeight="1">
      <c r="B513" s="13"/>
      <c r="C513" s="2"/>
      <c r="D513" s="13"/>
      <c r="E513" s="13"/>
      <c r="F513" s="113" t="s">
        <v>163</v>
      </c>
      <c r="G513" s="113"/>
      <c r="H513" s="113"/>
      <c r="I513" s="113"/>
      <c r="J513" s="113"/>
      <c r="K513" s="113"/>
      <c r="L513" s="113"/>
      <c r="M513" s="173" t="s">
        <v>1</v>
      </c>
      <c r="N513" s="174" t="e">
        <f>#REF!</f>
        <v>#REF!</v>
      </c>
      <c r="O513" s="174"/>
      <c r="P513" s="174"/>
      <c r="Q513" s="174"/>
      <c r="R513" s="174"/>
      <c r="S513" s="174"/>
      <c r="T513" s="174"/>
      <c r="U513" s="174"/>
      <c r="V513" s="176">
        <f>L507/1000</f>
        <v>1.4999999999999999E-2</v>
      </c>
      <c r="W513" s="176"/>
      <c r="X513" s="176"/>
      <c r="Y513" s="13"/>
      <c r="Z513" s="13"/>
      <c r="AA513" s="13"/>
      <c r="AB513" s="13"/>
      <c r="AC513" s="13"/>
      <c r="AD513" s="13"/>
      <c r="AE513" s="14"/>
      <c r="AF513" s="14"/>
    </row>
    <row r="514" spans="2:32" ht="13.5" hidden="1" customHeight="1">
      <c r="B514" s="13"/>
      <c r="C514" s="2"/>
      <c r="D514" s="13"/>
      <c r="E514" s="13"/>
      <c r="F514" s="113"/>
      <c r="G514" s="113"/>
      <c r="H514" s="113"/>
      <c r="I514" s="113"/>
      <c r="J514" s="113"/>
      <c r="K514" s="113"/>
      <c r="L514" s="113"/>
      <c r="M514" s="113"/>
      <c r="N514" s="196">
        <f>H506</f>
        <v>1</v>
      </c>
      <c r="O514" s="196"/>
      <c r="P514" s="196"/>
      <c r="Q514" s="196"/>
      <c r="R514" s="196"/>
      <c r="S514" s="196"/>
      <c r="T514" s="196"/>
      <c r="U514" s="196"/>
      <c r="V514" s="176"/>
      <c r="W514" s="176"/>
      <c r="X514" s="176"/>
      <c r="Y514" s="13"/>
      <c r="Z514" s="13"/>
      <c r="AA514" s="13"/>
      <c r="AB514" s="13"/>
      <c r="AC514" s="13"/>
      <c r="AD514" s="13"/>
      <c r="AE514" s="14"/>
      <c r="AF514" s="14"/>
    </row>
    <row r="515" spans="2:32" ht="13.5" hidden="1" customHeight="1">
      <c r="B515" s="13"/>
      <c r="C515" s="2"/>
      <c r="D515" s="13"/>
      <c r="E515" s="13"/>
      <c r="F515" s="13"/>
      <c r="G515" s="13"/>
      <c r="H515" s="13"/>
      <c r="I515" s="13"/>
      <c r="J515" s="29"/>
      <c r="K515" s="29"/>
      <c r="L515" s="6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4"/>
      <c r="AF515" s="14"/>
    </row>
    <row r="516" spans="2:32" ht="13.5" hidden="1" customHeight="1">
      <c r="B516" s="13"/>
      <c r="C516" s="2"/>
      <c r="D516" s="13"/>
      <c r="E516" s="13"/>
      <c r="F516" s="113" t="s">
        <v>163</v>
      </c>
      <c r="G516" s="113"/>
      <c r="H516" s="113"/>
      <c r="I516" s="113"/>
      <c r="J516" s="113"/>
      <c r="K516" s="113"/>
      <c r="L516" s="113"/>
      <c r="M516" s="173" t="s">
        <v>1</v>
      </c>
      <c r="N516" s="176" t="e">
        <f>(N513/N514)*V513</f>
        <v>#REF!</v>
      </c>
      <c r="O516" s="176"/>
      <c r="P516" s="176"/>
      <c r="Q516" s="13"/>
      <c r="R516" s="113" t="s">
        <v>78</v>
      </c>
      <c r="S516" s="113"/>
      <c r="T516" s="1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4"/>
      <c r="AF516" s="14"/>
    </row>
    <row r="517" spans="2:32" ht="13.5" hidden="1" customHeight="1">
      <c r="B517" s="13"/>
      <c r="C517" s="2"/>
      <c r="D517" s="13"/>
      <c r="E517" s="13"/>
      <c r="F517" s="113"/>
      <c r="G517" s="113"/>
      <c r="H517" s="113"/>
      <c r="I517" s="113"/>
      <c r="J517" s="113"/>
      <c r="K517" s="113"/>
      <c r="L517" s="113"/>
      <c r="M517" s="113"/>
      <c r="N517" s="176"/>
      <c r="O517" s="176"/>
      <c r="P517" s="176"/>
      <c r="Q517" s="13"/>
      <c r="R517" s="113"/>
      <c r="S517" s="113"/>
      <c r="T517" s="1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4"/>
      <c r="AF517" s="14"/>
    </row>
    <row r="518" spans="2:32" ht="13.5" hidden="1" customHeight="1">
      <c r="B518" s="13"/>
      <c r="C518" s="2"/>
      <c r="D518" s="13"/>
      <c r="E518" s="13"/>
      <c r="F518" s="13"/>
      <c r="G518" s="13"/>
      <c r="H518" s="13"/>
      <c r="I518" s="13"/>
      <c r="J518" s="29"/>
      <c r="K518" s="29"/>
      <c r="L518" s="6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4"/>
      <c r="AF518" s="14"/>
    </row>
    <row r="519" spans="2:32" ht="13.5" hidden="1" customHeight="1">
      <c r="B519" s="13"/>
      <c r="C519" s="2"/>
      <c r="D519" s="13"/>
      <c r="E519" s="13"/>
      <c r="F519" s="13"/>
      <c r="G519" s="13"/>
      <c r="H519" s="13"/>
      <c r="I519" s="13"/>
      <c r="J519" s="29"/>
      <c r="K519" s="29"/>
      <c r="L519" s="6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4"/>
      <c r="AF519" s="14"/>
    </row>
    <row r="520" spans="2:32" ht="13.5" hidden="1" customHeight="1">
      <c r="B520" s="13"/>
      <c r="C520" s="2"/>
      <c r="D520" s="13"/>
      <c r="E520" s="13"/>
      <c r="F520" s="113" t="s">
        <v>164</v>
      </c>
      <c r="G520" s="113"/>
      <c r="H520" s="113"/>
      <c r="I520" s="113"/>
      <c r="J520" s="113"/>
      <c r="K520" s="113"/>
      <c r="L520" s="113"/>
      <c r="M520" s="173" t="s">
        <v>1</v>
      </c>
      <c r="N520" s="146" t="s">
        <v>161</v>
      </c>
      <c r="O520" s="146"/>
      <c r="P520" s="146"/>
      <c r="Q520" s="146"/>
      <c r="R520" s="146"/>
      <c r="S520" s="146"/>
      <c r="T520" s="146"/>
      <c r="U520" s="146"/>
      <c r="V520" s="113" t="s">
        <v>162</v>
      </c>
      <c r="W520" s="113"/>
      <c r="X520" s="113"/>
      <c r="Y520" s="113"/>
      <c r="Z520" s="113"/>
      <c r="AA520" s="113"/>
      <c r="AB520" s="113"/>
      <c r="AC520" s="13"/>
      <c r="AD520" s="13"/>
      <c r="AE520" s="14"/>
      <c r="AF520" s="14"/>
    </row>
    <row r="521" spans="2:32" ht="13.5" hidden="1" customHeight="1">
      <c r="B521" s="13"/>
      <c r="C521" s="2"/>
      <c r="D521" s="13"/>
      <c r="E521" s="13"/>
      <c r="F521" s="113"/>
      <c r="G521" s="113"/>
      <c r="H521" s="113"/>
      <c r="I521" s="113"/>
      <c r="J521" s="113"/>
      <c r="K521" s="113"/>
      <c r="L521" s="113"/>
      <c r="M521" s="113"/>
      <c r="N521" s="126" t="s">
        <v>160</v>
      </c>
      <c r="O521" s="126"/>
      <c r="P521" s="126"/>
      <c r="Q521" s="126"/>
      <c r="R521" s="126"/>
      <c r="S521" s="126"/>
      <c r="T521" s="126"/>
      <c r="U521" s="126"/>
      <c r="V521" s="113"/>
      <c r="W521" s="113"/>
      <c r="X521" s="113"/>
      <c r="Y521" s="113"/>
      <c r="Z521" s="113"/>
      <c r="AA521" s="113"/>
      <c r="AB521" s="113"/>
      <c r="AC521" s="13"/>
      <c r="AD521" s="13"/>
      <c r="AE521" s="14"/>
      <c r="AF521" s="14"/>
    </row>
    <row r="522" spans="2:32" ht="13.5" hidden="1" customHeight="1">
      <c r="B522" s="13"/>
      <c r="C522" s="2"/>
      <c r="D522" s="13"/>
      <c r="E522" s="13"/>
      <c r="F522" s="13"/>
      <c r="G522" s="13"/>
      <c r="H522" s="13"/>
      <c r="I522" s="13"/>
      <c r="J522" s="29"/>
      <c r="K522" s="29"/>
      <c r="L522" s="6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4"/>
      <c r="AF522" s="14"/>
    </row>
    <row r="523" spans="2:32" ht="13.5" hidden="1" customHeight="1">
      <c r="B523" s="13"/>
      <c r="C523" s="2"/>
      <c r="D523" s="13"/>
      <c r="E523" s="13"/>
      <c r="F523" s="113" t="s">
        <v>164</v>
      </c>
      <c r="G523" s="113"/>
      <c r="H523" s="113"/>
      <c r="I523" s="113"/>
      <c r="J523" s="113"/>
      <c r="K523" s="113"/>
      <c r="L523" s="113"/>
      <c r="M523" s="173" t="s">
        <v>1</v>
      </c>
      <c r="N523" s="174" t="e">
        <f>#REF!</f>
        <v>#REF!</v>
      </c>
      <c r="O523" s="174"/>
      <c r="P523" s="174"/>
      <c r="Q523" s="174"/>
      <c r="R523" s="174"/>
      <c r="S523" s="174"/>
      <c r="T523" s="174"/>
      <c r="U523" s="174"/>
      <c r="V523" s="176">
        <f>L507/1000</f>
        <v>1.4999999999999999E-2</v>
      </c>
      <c r="W523" s="176"/>
      <c r="X523" s="176"/>
      <c r="Y523" s="13"/>
      <c r="Z523" s="13"/>
      <c r="AA523" s="13"/>
      <c r="AB523" s="13"/>
      <c r="AC523" s="13"/>
      <c r="AD523" s="13"/>
      <c r="AE523" s="14"/>
      <c r="AF523" s="14"/>
    </row>
    <row r="524" spans="2:32" ht="13.5" hidden="1" customHeight="1">
      <c r="B524" s="13"/>
      <c r="C524" s="2"/>
      <c r="D524" s="13"/>
      <c r="E524" s="13"/>
      <c r="F524" s="113"/>
      <c r="G524" s="113"/>
      <c r="H524" s="113"/>
      <c r="I524" s="113"/>
      <c r="J524" s="113"/>
      <c r="K524" s="113"/>
      <c r="L524" s="113"/>
      <c r="M524" s="113"/>
      <c r="N524" s="196">
        <f>H506</f>
        <v>1</v>
      </c>
      <c r="O524" s="196"/>
      <c r="P524" s="196"/>
      <c r="Q524" s="196"/>
      <c r="R524" s="196"/>
      <c r="S524" s="196"/>
      <c r="T524" s="196"/>
      <c r="U524" s="196"/>
      <c r="V524" s="176"/>
      <c r="W524" s="176"/>
      <c r="X524" s="176"/>
      <c r="Y524" s="13"/>
      <c r="Z524" s="13"/>
      <c r="AA524" s="13"/>
      <c r="AB524" s="13"/>
      <c r="AC524" s="13"/>
      <c r="AD524" s="13"/>
      <c r="AE524" s="14"/>
      <c r="AF524" s="14"/>
    </row>
    <row r="525" spans="2:32" ht="13.5" hidden="1" customHeight="1">
      <c r="B525" s="13"/>
      <c r="C525" s="2"/>
      <c r="D525" s="13"/>
      <c r="E525" s="13"/>
      <c r="F525" s="13"/>
      <c r="G525" s="13"/>
      <c r="H525" s="13"/>
      <c r="I525" s="13"/>
      <c r="J525" s="29"/>
      <c r="K525" s="29"/>
      <c r="L525" s="6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4"/>
      <c r="AF525" s="14"/>
    </row>
    <row r="526" spans="2:32" ht="13.5" hidden="1" customHeight="1">
      <c r="B526" s="13"/>
      <c r="C526" s="2"/>
      <c r="D526" s="13"/>
      <c r="E526" s="13"/>
      <c r="F526" s="113" t="s">
        <v>164</v>
      </c>
      <c r="G526" s="113"/>
      <c r="H526" s="113"/>
      <c r="I526" s="113"/>
      <c r="J526" s="113"/>
      <c r="K526" s="113"/>
      <c r="L526" s="113"/>
      <c r="M526" s="173" t="s">
        <v>1</v>
      </c>
      <c r="N526" s="176" t="e">
        <f>(N523/N524)*V523</f>
        <v>#REF!</v>
      </c>
      <c r="O526" s="176"/>
      <c r="P526" s="176"/>
      <c r="Q526" s="13"/>
      <c r="R526" s="113" t="s">
        <v>78</v>
      </c>
      <c r="S526" s="113"/>
      <c r="T526" s="1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4"/>
      <c r="AF526" s="14"/>
    </row>
    <row r="527" spans="2:32" ht="13.5" hidden="1" customHeight="1">
      <c r="B527" s="13"/>
      <c r="C527" s="2"/>
      <c r="D527" s="13"/>
      <c r="E527" s="13"/>
      <c r="F527" s="113"/>
      <c r="G527" s="113"/>
      <c r="H527" s="113"/>
      <c r="I527" s="113"/>
      <c r="J527" s="113"/>
      <c r="K527" s="113"/>
      <c r="L527" s="113"/>
      <c r="M527" s="113"/>
      <c r="N527" s="176"/>
      <c r="O527" s="176"/>
      <c r="P527" s="176"/>
      <c r="Q527" s="13"/>
      <c r="R527" s="113"/>
      <c r="S527" s="113"/>
      <c r="T527" s="1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4"/>
      <c r="AF527" s="14"/>
    </row>
    <row r="528" spans="2:32" ht="13.5" hidden="1" customHeight="1">
      <c r="B528" s="21"/>
      <c r="C528" s="34"/>
      <c r="D528" s="21"/>
      <c r="E528" s="21"/>
      <c r="F528" s="21"/>
      <c r="G528" s="21"/>
      <c r="H528" s="21"/>
      <c r="I528" s="21"/>
      <c r="J528" s="35"/>
      <c r="K528" s="35"/>
      <c r="L528" s="22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3"/>
      <c r="AF528" s="14"/>
    </row>
    <row r="529" spans="2:32" ht="13.5" hidden="1" customHeight="1">
      <c r="B529" s="13"/>
      <c r="C529" s="2"/>
      <c r="D529" s="13"/>
      <c r="E529" s="13"/>
      <c r="F529" s="13"/>
      <c r="G529" s="13"/>
      <c r="H529" s="13"/>
      <c r="I529" s="13"/>
      <c r="J529" s="29"/>
      <c r="K529" s="29"/>
      <c r="L529" s="6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4"/>
      <c r="AF529" s="14"/>
    </row>
    <row r="530" spans="2:32" s="11" customFormat="1" ht="13.5" hidden="1" customHeight="1">
      <c r="B530" s="9"/>
      <c r="C530" s="3"/>
      <c r="D530" s="9"/>
      <c r="E530" s="9"/>
      <c r="F530" s="9" t="s">
        <v>21</v>
      </c>
      <c r="G530" s="9" t="s">
        <v>79</v>
      </c>
      <c r="H530" s="9"/>
      <c r="I530" s="9"/>
      <c r="J530" s="28"/>
      <c r="K530" s="28"/>
      <c r="L530" s="7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10"/>
      <c r="AF530" s="10"/>
    </row>
    <row r="531" spans="2:32" ht="13.5" hidden="1" customHeight="1">
      <c r="B531" s="13"/>
      <c r="C531" s="2"/>
      <c r="D531" s="13"/>
      <c r="E531" s="13"/>
      <c r="F531" s="13"/>
      <c r="G531" s="13"/>
      <c r="H531" s="13"/>
      <c r="I531" s="13"/>
      <c r="J531" s="29"/>
      <c r="K531" s="29"/>
      <c r="L531" s="6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4"/>
      <c r="AF531" s="14"/>
    </row>
    <row r="532" spans="2:32" ht="13.5" hidden="1" customHeight="1">
      <c r="B532" s="13"/>
      <c r="C532" s="2"/>
      <c r="D532" s="13"/>
      <c r="E532" s="13"/>
      <c r="F532" s="13"/>
      <c r="G532" s="13"/>
      <c r="H532" s="13"/>
      <c r="I532" s="13"/>
      <c r="J532" s="113" t="s">
        <v>45</v>
      </c>
      <c r="K532" s="113"/>
      <c r="L532" s="113"/>
      <c r="M532" s="173" t="s">
        <v>1</v>
      </c>
      <c r="N532" s="197" t="s">
        <v>95</v>
      </c>
      <c r="O532" s="198"/>
      <c r="P532" s="198"/>
      <c r="Q532" s="208" t="s">
        <v>8</v>
      </c>
      <c r="R532" s="198"/>
      <c r="S532" s="198" t="s">
        <v>96</v>
      </c>
      <c r="T532" s="198"/>
      <c r="U532" s="198"/>
      <c r="V532" s="13"/>
      <c r="W532" s="13"/>
      <c r="X532" s="13"/>
      <c r="Y532" s="13"/>
      <c r="Z532" s="13"/>
      <c r="AA532" s="13"/>
      <c r="AB532" s="13"/>
      <c r="AC532" s="13"/>
      <c r="AD532" s="13"/>
      <c r="AE532" s="14"/>
      <c r="AF532" s="14"/>
    </row>
    <row r="533" spans="2:32" ht="13.5" hidden="1" customHeight="1">
      <c r="B533" s="13"/>
      <c r="C533" s="2"/>
      <c r="D533" s="13"/>
      <c r="E533" s="13"/>
      <c r="F533" s="13"/>
      <c r="G533" s="13"/>
      <c r="H533" s="13"/>
      <c r="I533" s="13"/>
      <c r="J533" s="113"/>
      <c r="K533" s="113"/>
      <c r="L533" s="113"/>
      <c r="M533" s="113"/>
      <c r="N533" s="199"/>
      <c r="O533" s="113"/>
      <c r="P533" s="113"/>
      <c r="Q533" s="113"/>
      <c r="R533" s="113"/>
      <c r="S533" s="113"/>
      <c r="T533" s="113"/>
      <c r="U533" s="113"/>
      <c r="V533" s="13"/>
      <c r="W533" s="13"/>
      <c r="X533" s="13"/>
      <c r="Y533" s="13"/>
      <c r="Z533" s="13"/>
      <c r="AA533" s="13"/>
      <c r="AB533" s="13"/>
      <c r="AC533" s="13"/>
      <c r="AD533" s="13"/>
      <c r="AE533" s="14"/>
      <c r="AF533" s="14"/>
    </row>
    <row r="534" spans="2:32" ht="13.5" hidden="1" customHeight="1">
      <c r="B534" s="13"/>
      <c r="C534" s="2"/>
      <c r="D534" s="13"/>
      <c r="E534" s="13"/>
      <c r="F534" s="13"/>
      <c r="G534" s="13"/>
      <c r="H534" s="13"/>
      <c r="I534" s="13"/>
      <c r="J534" s="29"/>
      <c r="K534" s="29"/>
      <c r="L534" s="6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4"/>
      <c r="AF534" s="14"/>
    </row>
    <row r="535" spans="2:32" ht="13.5" hidden="1" customHeight="1">
      <c r="B535" s="13"/>
      <c r="C535" s="2"/>
      <c r="D535" s="13"/>
      <c r="E535" s="13"/>
      <c r="F535" s="13"/>
      <c r="G535" s="13"/>
      <c r="H535" s="13"/>
      <c r="I535" s="13"/>
      <c r="J535" s="113" t="s">
        <v>45</v>
      </c>
      <c r="K535" s="113"/>
      <c r="L535" s="113"/>
      <c r="M535" s="173" t="s">
        <v>1</v>
      </c>
      <c r="N535" s="206" t="e">
        <f>N516*N516</f>
        <v>#REF!</v>
      </c>
      <c r="O535" s="195"/>
      <c r="P535" s="195"/>
      <c r="Q535" s="208" t="s">
        <v>8</v>
      </c>
      <c r="R535" s="198"/>
      <c r="S535" s="195" t="e">
        <f>N526*N526</f>
        <v>#REF!</v>
      </c>
      <c r="T535" s="195"/>
      <c r="U535" s="195"/>
      <c r="V535" s="13"/>
      <c r="W535" s="13"/>
      <c r="X535" s="13"/>
      <c r="Y535" s="13"/>
      <c r="Z535" s="13"/>
      <c r="AA535" s="13"/>
      <c r="AB535" s="13"/>
      <c r="AC535" s="13"/>
      <c r="AD535" s="13"/>
      <c r="AE535" s="14"/>
      <c r="AF535" s="14"/>
    </row>
    <row r="536" spans="2:32" ht="13.5" hidden="1" customHeight="1">
      <c r="B536" s="13"/>
      <c r="C536" s="2"/>
      <c r="D536" s="13"/>
      <c r="E536" s="13"/>
      <c r="F536" s="13"/>
      <c r="G536" s="13"/>
      <c r="H536" s="13"/>
      <c r="I536" s="13"/>
      <c r="J536" s="113"/>
      <c r="K536" s="113"/>
      <c r="L536" s="113"/>
      <c r="M536" s="113"/>
      <c r="N536" s="207"/>
      <c r="O536" s="176"/>
      <c r="P536" s="176"/>
      <c r="Q536" s="113"/>
      <c r="R536" s="113"/>
      <c r="S536" s="176"/>
      <c r="T536" s="176"/>
      <c r="U536" s="176"/>
      <c r="V536" s="13"/>
      <c r="W536" s="13"/>
      <c r="X536" s="13"/>
      <c r="Y536" s="13"/>
      <c r="Z536" s="13"/>
      <c r="AA536" s="13"/>
      <c r="AB536" s="13"/>
      <c r="AC536" s="13"/>
      <c r="AD536" s="13"/>
      <c r="AE536" s="14"/>
      <c r="AF536" s="14"/>
    </row>
    <row r="537" spans="2:32" ht="13.5" hidden="1" customHeight="1">
      <c r="B537" s="13"/>
      <c r="C537" s="2"/>
      <c r="D537" s="13"/>
      <c r="E537" s="13"/>
      <c r="F537" s="13"/>
      <c r="G537" s="13"/>
      <c r="H537" s="13"/>
      <c r="I537" s="13"/>
      <c r="J537" s="29"/>
      <c r="K537" s="29"/>
      <c r="L537" s="6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4"/>
      <c r="AF537" s="14"/>
    </row>
    <row r="538" spans="2:32" ht="13.5" hidden="1" customHeight="1">
      <c r="B538" s="13"/>
      <c r="C538" s="2"/>
      <c r="D538" s="13"/>
      <c r="E538" s="13"/>
      <c r="F538" s="13"/>
      <c r="G538" s="13"/>
      <c r="H538" s="13"/>
      <c r="I538" s="13"/>
      <c r="J538" s="113" t="s">
        <v>45</v>
      </c>
      <c r="K538" s="113"/>
      <c r="L538" s="113"/>
      <c r="M538" s="173" t="s">
        <v>1</v>
      </c>
      <c r="N538" s="176" t="e">
        <f>SQRT(N535+S535)</f>
        <v>#REF!</v>
      </c>
      <c r="O538" s="176"/>
      <c r="P538" s="176"/>
      <c r="Q538" s="176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4"/>
      <c r="AF538" s="14"/>
    </row>
    <row r="539" spans="2:32" ht="13.5" hidden="1" customHeight="1">
      <c r="B539" s="13"/>
      <c r="C539" s="2"/>
      <c r="D539" s="13"/>
      <c r="E539" s="13"/>
      <c r="F539" s="13"/>
      <c r="G539" s="13"/>
      <c r="H539" s="13"/>
      <c r="I539" s="13"/>
      <c r="J539" s="113"/>
      <c r="K539" s="113"/>
      <c r="L539" s="113"/>
      <c r="M539" s="113"/>
      <c r="N539" s="176"/>
      <c r="O539" s="176"/>
      <c r="P539" s="176"/>
      <c r="Q539" s="176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4"/>
      <c r="AF539" s="14"/>
    </row>
    <row r="540" spans="2:32" ht="13.5" hidden="1" customHeight="1">
      <c r="B540" s="13"/>
      <c r="C540" s="2"/>
      <c r="D540" s="13"/>
      <c r="E540" s="13"/>
      <c r="F540" s="13"/>
      <c r="G540" s="13"/>
      <c r="H540" s="13"/>
      <c r="I540" s="13"/>
      <c r="J540" s="29"/>
      <c r="K540" s="29"/>
      <c r="L540" s="6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4"/>
      <c r="AF540" s="14"/>
    </row>
    <row r="541" spans="2:32" s="11" customFormat="1" ht="13.5" hidden="1" customHeight="1">
      <c r="B541" s="9"/>
      <c r="C541" s="3"/>
      <c r="D541" s="9"/>
      <c r="E541" s="9"/>
      <c r="F541" s="9" t="s">
        <v>22</v>
      </c>
      <c r="G541" s="9" t="s">
        <v>139</v>
      </c>
      <c r="H541" s="9"/>
      <c r="I541" s="9"/>
      <c r="J541" s="28"/>
      <c r="K541" s="28"/>
      <c r="L541" s="7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10"/>
      <c r="AF541" s="10"/>
    </row>
    <row r="542" spans="2:32" ht="13.5" hidden="1" customHeight="1">
      <c r="B542" s="13"/>
      <c r="C542" s="2"/>
      <c r="D542" s="13"/>
      <c r="E542" s="13"/>
      <c r="F542" s="13"/>
      <c r="G542" s="13"/>
      <c r="H542" s="13"/>
      <c r="I542" s="13"/>
      <c r="J542" s="29"/>
      <c r="K542" s="29"/>
      <c r="L542" s="6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4"/>
      <c r="AF542" s="14"/>
    </row>
    <row r="543" spans="2:32" ht="13.5" hidden="1" customHeight="1">
      <c r="B543" s="13"/>
      <c r="C543" s="2"/>
      <c r="D543" s="13"/>
      <c r="E543" s="13"/>
      <c r="F543" s="13"/>
      <c r="G543" s="13"/>
      <c r="H543" s="13"/>
      <c r="I543" s="13"/>
      <c r="J543" s="29"/>
      <c r="K543" s="205" t="s">
        <v>97</v>
      </c>
      <c r="L543" s="205"/>
      <c r="M543" s="173" t="s">
        <v>1</v>
      </c>
      <c r="N543" s="146" t="s">
        <v>80</v>
      </c>
      <c r="O543" s="146"/>
      <c r="P543" s="146"/>
      <c r="Q543" s="146"/>
      <c r="R543" s="146" t="s">
        <v>73</v>
      </c>
      <c r="S543" s="146"/>
      <c r="T543" s="146" t="s">
        <v>81</v>
      </c>
      <c r="U543" s="146"/>
      <c r="V543" s="146"/>
      <c r="W543" s="13"/>
      <c r="X543" s="13"/>
      <c r="Y543" s="13"/>
      <c r="Z543" s="13"/>
      <c r="AA543" s="13"/>
      <c r="AB543" s="13"/>
      <c r="AC543" s="13"/>
      <c r="AD543" s="13"/>
      <c r="AE543" s="14"/>
      <c r="AF543" s="14"/>
    </row>
    <row r="544" spans="2:32" ht="13.5" hidden="1" customHeight="1">
      <c r="B544" s="13"/>
      <c r="C544" s="2"/>
      <c r="D544" s="13"/>
      <c r="E544" s="13"/>
      <c r="F544" s="13"/>
      <c r="G544" s="13"/>
      <c r="H544" s="13"/>
      <c r="I544" s="13"/>
      <c r="J544" s="29"/>
      <c r="K544" s="205"/>
      <c r="L544" s="205"/>
      <c r="M544" s="113"/>
      <c r="N544" s="126" t="s">
        <v>98</v>
      </c>
      <c r="O544" s="126"/>
      <c r="P544" s="126"/>
      <c r="Q544" s="126"/>
      <c r="R544" s="126" t="s">
        <v>73</v>
      </c>
      <c r="S544" s="126"/>
      <c r="T544" s="126">
        <v>1000</v>
      </c>
      <c r="U544" s="126"/>
      <c r="V544" s="126"/>
      <c r="W544" s="13"/>
      <c r="X544" s="13"/>
      <c r="Y544" s="13"/>
      <c r="Z544" s="13"/>
      <c r="AA544" s="13"/>
      <c r="AB544" s="13"/>
      <c r="AC544" s="13"/>
      <c r="AD544" s="13"/>
      <c r="AE544" s="14"/>
      <c r="AF544" s="14"/>
    </row>
    <row r="545" spans="2:32" ht="13.5" hidden="1" customHeight="1">
      <c r="B545" s="13"/>
      <c r="C545" s="2"/>
      <c r="D545" s="13"/>
      <c r="E545" s="13"/>
      <c r="F545" s="13"/>
      <c r="G545" s="13"/>
      <c r="H545" s="13"/>
      <c r="I545" s="13"/>
      <c r="J545" s="29"/>
      <c r="K545" s="29"/>
      <c r="L545" s="6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4"/>
      <c r="AF545" s="14"/>
    </row>
    <row r="546" spans="2:32" ht="13.5" hidden="1" customHeight="1">
      <c r="B546" s="13"/>
      <c r="C546" s="2"/>
      <c r="D546" s="13"/>
      <c r="E546" s="13"/>
      <c r="F546" s="13"/>
      <c r="G546" s="13"/>
      <c r="H546" s="13"/>
      <c r="I546" s="13"/>
      <c r="J546" s="29"/>
      <c r="K546" s="205" t="s">
        <v>97</v>
      </c>
      <c r="L546" s="205"/>
      <c r="M546" s="173" t="s">
        <v>1</v>
      </c>
      <c r="N546" s="174" t="e">
        <f>N516</f>
        <v>#REF!</v>
      </c>
      <c r="O546" s="174"/>
      <c r="P546" s="174"/>
      <c r="Q546" s="146" t="s">
        <v>73</v>
      </c>
      <c r="R546" s="146"/>
      <c r="S546" s="174" t="e">
        <f>#REF!</f>
        <v>#REF!</v>
      </c>
      <c r="T546" s="174"/>
      <c r="U546" s="174"/>
      <c r="V546" s="13"/>
      <c r="W546" s="13"/>
      <c r="X546" s="13"/>
      <c r="Y546" s="13"/>
      <c r="Z546" s="13"/>
      <c r="AA546" s="13"/>
      <c r="AB546" s="13"/>
      <c r="AC546" s="13"/>
      <c r="AD546" s="13"/>
      <c r="AE546" s="14"/>
      <c r="AF546" s="14"/>
    </row>
    <row r="547" spans="2:32" ht="13.5" hidden="1" customHeight="1">
      <c r="B547" s="13"/>
      <c r="C547" s="2"/>
      <c r="D547" s="13"/>
      <c r="E547" s="13"/>
      <c r="F547" s="13"/>
      <c r="G547" s="13"/>
      <c r="H547" s="13"/>
      <c r="I547" s="13"/>
      <c r="J547" s="29"/>
      <c r="K547" s="205"/>
      <c r="L547" s="205"/>
      <c r="M547" s="113"/>
      <c r="N547" s="196" t="e">
        <f>(#REF!/1000)*(#REF!/1000)</f>
        <v>#REF!</v>
      </c>
      <c r="O547" s="196"/>
      <c r="P547" s="196"/>
      <c r="Q547" s="126" t="s">
        <v>73</v>
      </c>
      <c r="R547" s="126"/>
      <c r="S547" s="196">
        <v>1000</v>
      </c>
      <c r="T547" s="196"/>
      <c r="U547" s="196"/>
      <c r="V547" s="13"/>
      <c r="W547" s="13"/>
      <c r="X547" s="13"/>
      <c r="Y547" s="13"/>
      <c r="Z547" s="13"/>
      <c r="AA547" s="13"/>
      <c r="AB547" s="13"/>
      <c r="AC547" s="13"/>
      <c r="AD547" s="13"/>
      <c r="AE547" s="14"/>
      <c r="AF547" s="14"/>
    </row>
    <row r="548" spans="2:32" ht="13.5" hidden="1" customHeight="1">
      <c r="B548" s="13"/>
      <c r="C548" s="2"/>
      <c r="D548" s="13"/>
      <c r="E548" s="13"/>
      <c r="F548" s="13"/>
      <c r="G548" s="13"/>
      <c r="H548" s="13"/>
      <c r="I548" s="13"/>
      <c r="J548" s="29"/>
      <c r="K548" s="29"/>
      <c r="L548" s="6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4"/>
      <c r="AF548" s="14"/>
    </row>
    <row r="549" spans="2:32" ht="13.5" hidden="1" customHeight="1">
      <c r="B549" s="13"/>
      <c r="C549" s="2"/>
      <c r="D549" s="13"/>
      <c r="E549" s="13"/>
      <c r="F549" s="13"/>
      <c r="G549" s="13"/>
      <c r="H549" s="13"/>
      <c r="I549" s="13"/>
      <c r="J549" s="29"/>
      <c r="K549" s="205" t="s">
        <v>97</v>
      </c>
      <c r="L549" s="205"/>
      <c r="M549" s="173" t="s">
        <v>1</v>
      </c>
      <c r="N549" s="176" t="e">
        <f>(N546*S546)/(N547*S547)</f>
        <v>#REF!</v>
      </c>
      <c r="O549" s="176"/>
      <c r="P549" s="176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4"/>
      <c r="AF549" s="14"/>
    </row>
    <row r="550" spans="2:32" ht="13.5" hidden="1" customHeight="1">
      <c r="B550" s="13"/>
      <c r="C550" s="2"/>
      <c r="D550" s="13"/>
      <c r="E550" s="13"/>
      <c r="F550" s="13"/>
      <c r="G550" s="13"/>
      <c r="H550" s="13"/>
      <c r="I550" s="13"/>
      <c r="J550" s="29"/>
      <c r="K550" s="205"/>
      <c r="L550" s="205"/>
      <c r="M550" s="113"/>
      <c r="N550" s="176"/>
      <c r="O550" s="176"/>
      <c r="P550" s="176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4"/>
      <c r="AF550" s="14"/>
    </row>
    <row r="551" spans="2:32" ht="13.5" hidden="1" customHeight="1">
      <c r="B551" s="13"/>
      <c r="C551" s="2"/>
      <c r="D551" s="13"/>
      <c r="E551" s="13"/>
      <c r="F551" s="13"/>
      <c r="G551" s="13"/>
      <c r="H551" s="13"/>
      <c r="I551" s="13"/>
      <c r="J551" s="29"/>
      <c r="K551" s="29"/>
      <c r="L551" s="6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4"/>
      <c r="AF551" s="14"/>
    </row>
    <row r="552" spans="2:32" s="11" customFormat="1" ht="13.5" hidden="1" customHeight="1">
      <c r="B552" s="9"/>
      <c r="C552" s="3"/>
      <c r="D552" s="9"/>
      <c r="E552" s="9"/>
      <c r="F552" s="9" t="s">
        <v>23</v>
      </c>
      <c r="G552" s="9" t="s">
        <v>140</v>
      </c>
      <c r="H552" s="9"/>
      <c r="I552" s="9"/>
      <c r="J552" s="28"/>
      <c r="K552" s="28"/>
      <c r="L552" s="7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10"/>
      <c r="AF552" s="10"/>
    </row>
    <row r="553" spans="2:32" ht="13.5" hidden="1" customHeight="1">
      <c r="B553" s="13"/>
      <c r="C553" s="2"/>
      <c r="D553" s="13"/>
      <c r="E553" s="13"/>
      <c r="F553" s="13"/>
      <c r="G553" s="13"/>
      <c r="H553" s="13"/>
      <c r="I553" s="13"/>
      <c r="J553" s="29"/>
      <c r="K553" s="29"/>
      <c r="L553" s="6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4"/>
      <c r="AF553" s="14"/>
    </row>
    <row r="554" spans="2:32" ht="13.5" hidden="1" customHeight="1">
      <c r="B554" s="13"/>
      <c r="C554" s="2"/>
      <c r="D554" s="13"/>
      <c r="E554" s="13"/>
      <c r="F554" s="13"/>
      <c r="G554" s="13"/>
      <c r="H554" s="13"/>
      <c r="I554" s="13"/>
      <c r="J554" s="29"/>
      <c r="K554" s="205" t="s">
        <v>99</v>
      </c>
      <c r="L554" s="205"/>
      <c r="M554" s="173" t="s">
        <v>1</v>
      </c>
      <c r="N554" s="146" t="s">
        <v>82</v>
      </c>
      <c r="O554" s="146"/>
      <c r="P554" s="146"/>
      <c r="Q554" s="146"/>
      <c r="R554" s="146" t="s">
        <v>73</v>
      </c>
      <c r="S554" s="146"/>
      <c r="T554" s="146" t="s">
        <v>81</v>
      </c>
      <c r="U554" s="146"/>
      <c r="V554" s="146"/>
      <c r="W554" s="13"/>
      <c r="X554" s="13"/>
      <c r="Y554" s="13"/>
      <c r="Z554" s="13"/>
      <c r="AA554" s="13"/>
      <c r="AB554" s="13"/>
      <c r="AC554" s="13"/>
      <c r="AD554" s="13"/>
      <c r="AE554" s="14"/>
      <c r="AF554" s="14"/>
    </row>
    <row r="555" spans="2:32" ht="13.5" hidden="1" customHeight="1">
      <c r="B555" s="13"/>
      <c r="C555" s="2"/>
      <c r="D555" s="13"/>
      <c r="E555" s="13"/>
      <c r="F555" s="13"/>
      <c r="G555" s="13"/>
      <c r="H555" s="13"/>
      <c r="I555" s="13"/>
      <c r="J555" s="29"/>
      <c r="K555" s="205"/>
      <c r="L555" s="205"/>
      <c r="M555" s="113"/>
      <c r="N555" s="126" t="s">
        <v>98</v>
      </c>
      <c r="O555" s="126"/>
      <c r="P555" s="126"/>
      <c r="Q555" s="126"/>
      <c r="R555" s="126" t="s">
        <v>73</v>
      </c>
      <c r="S555" s="126"/>
      <c r="T555" s="126">
        <v>1000</v>
      </c>
      <c r="U555" s="126"/>
      <c r="V555" s="126"/>
      <c r="W555" s="13"/>
      <c r="X555" s="13"/>
      <c r="Y555" s="13"/>
      <c r="Z555" s="13"/>
      <c r="AA555" s="13"/>
      <c r="AB555" s="13"/>
      <c r="AC555" s="13"/>
      <c r="AD555" s="13"/>
      <c r="AE555" s="14"/>
      <c r="AF555" s="14"/>
    </row>
    <row r="556" spans="2:32" ht="13.5" hidden="1" customHeight="1">
      <c r="B556" s="13"/>
      <c r="C556" s="2"/>
      <c r="D556" s="13"/>
      <c r="E556" s="13"/>
      <c r="F556" s="13"/>
      <c r="G556" s="13"/>
      <c r="H556" s="13"/>
      <c r="I556" s="13"/>
      <c r="J556" s="29"/>
      <c r="K556" s="29"/>
      <c r="L556" s="6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4"/>
      <c r="AF556" s="14"/>
    </row>
    <row r="557" spans="2:32" ht="13.5" hidden="1" customHeight="1">
      <c r="B557" s="13"/>
      <c r="C557" s="2"/>
      <c r="D557" s="13"/>
      <c r="E557" s="13"/>
      <c r="F557" s="13"/>
      <c r="G557" s="13"/>
      <c r="H557" s="13"/>
      <c r="I557" s="13"/>
      <c r="J557" s="29"/>
      <c r="K557" s="205" t="s">
        <v>99</v>
      </c>
      <c r="L557" s="205"/>
      <c r="M557" s="173" t="s">
        <v>1</v>
      </c>
      <c r="N557" s="174" t="e">
        <f>N526</f>
        <v>#REF!</v>
      </c>
      <c r="O557" s="174"/>
      <c r="P557" s="174"/>
      <c r="Q557" s="146" t="s">
        <v>73</v>
      </c>
      <c r="R557" s="146"/>
      <c r="S557" s="174" t="e">
        <f>#REF!</f>
        <v>#REF!</v>
      </c>
      <c r="T557" s="174"/>
      <c r="U557" s="174"/>
      <c r="V557" s="13"/>
      <c r="W557" s="13"/>
      <c r="X557" s="13"/>
      <c r="Y557" s="13"/>
      <c r="Z557" s="13"/>
      <c r="AA557" s="13"/>
      <c r="AB557" s="13"/>
      <c r="AC557" s="13"/>
      <c r="AD557" s="13"/>
      <c r="AE557" s="14"/>
      <c r="AF557" s="14"/>
    </row>
    <row r="558" spans="2:32" ht="13.5" hidden="1" customHeight="1">
      <c r="B558" s="13"/>
      <c r="C558" s="2"/>
      <c r="D558" s="13"/>
      <c r="E558" s="13"/>
      <c r="F558" s="13"/>
      <c r="G558" s="13"/>
      <c r="H558" s="13"/>
      <c r="I558" s="13"/>
      <c r="J558" s="29"/>
      <c r="K558" s="205"/>
      <c r="L558" s="205"/>
      <c r="M558" s="113"/>
      <c r="N558" s="196" t="e">
        <f>(#REF!/1000)*(#REF!/1000)</f>
        <v>#REF!</v>
      </c>
      <c r="O558" s="196"/>
      <c r="P558" s="196"/>
      <c r="Q558" s="126" t="s">
        <v>73</v>
      </c>
      <c r="R558" s="126"/>
      <c r="S558" s="196">
        <v>1000</v>
      </c>
      <c r="T558" s="196"/>
      <c r="U558" s="196"/>
      <c r="V558" s="13"/>
      <c r="W558" s="13"/>
      <c r="X558" s="13"/>
      <c r="Y558" s="13"/>
      <c r="Z558" s="13"/>
      <c r="AA558" s="13"/>
      <c r="AB558" s="13"/>
      <c r="AC558" s="13"/>
      <c r="AD558" s="13"/>
      <c r="AE558" s="14"/>
      <c r="AF558" s="14"/>
    </row>
    <row r="559" spans="2:32" ht="13.5" hidden="1" customHeight="1">
      <c r="B559" s="13"/>
      <c r="C559" s="2"/>
      <c r="D559" s="13"/>
      <c r="E559" s="13"/>
      <c r="F559" s="13"/>
      <c r="G559" s="13"/>
      <c r="H559" s="13"/>
      <c r="I559" s="13"/>
      <c r="J559" s="29"/>
      <c r="K559" s="29"/>
      <c r="L559" s="6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4"/>
      <c r="AF559" s="14"/>
    </row>
    <row r="560" spans="2:32" ht="13.5" hidden="1" customHeight="1">
      <c r="B560" s="13"/>
      <c r="C560" s="2"/>
      <c r="D560" s="13"/>
      <c r="E560" s="13"/>
      <c r="F560" s="13"/>
      <c r="G560" s="13"/>
      <c r="H560" s="13"/>
      <c r="I560" s="13"/>
      <c r="J560" s="29"/>
      <c r="K560" s="205" t="s">
        <v>99</v>
      </c>
      <c r="L560" s="205"/>
      <c r="M560" s="173" t="s">
        <v>1</v>
      </c>
      <c r="N560" s="176" t="e">
        <f>(N557*S557)/(N558*S558)</f>
        <v>#REF!</v>
      </c>
      <c r="O560" s="176"/>
      <c r="P560" s="176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4"/>
      <c r="AF560" s="14"/>
    </row>
    <row r="561" spans="2:32" ht="13.5" hidden="1" customHeight="1">
      <c r="B561" s="13"/>
      <c r="C561" s="2"/>
      <c r="D561" s="13"/>
      <c r="E561" s="13"/>
      <c r="F561" s="13"/>
      <c r="G561" s="13"/>
      <c r="H561" s="13"/>
      <c r="I561" s="13"/>
      <c r="J561" s="29"/>
      <c r="K561" s="205"/>
      <c r="L561" s="205"/>
      <c r="M561" s="113"/>
      <c r="N561" s="176"/>
      <c r="O561" s="176"/>
      <c r="P561" s="176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4"/>
      <c r="AF561" s="14"/>
    </row>
    <row r="562" spans="2:32" ht="13.5" hidden="1" customHeight="1">
      <c r="B562" s="13"/>
      <c r="C562" s="2"/>
      <c r="D562" s="13"/>
      <c r="E562" s="9"/>
      <c r="F562" s="13"/>
      <c r="G562" s="13"/>
      <c r="H562" s="13"/>
      <c r="I562" s="13"/>
      <c r="J562" s="29"/>
      <c r="K562" s="29"/>
      <c r="L562" s="29"/>
      <c r="M562" s="13"/>
      <c r="N562" s="17"/>
      <c r="O562" s="17"/>
      <c r="P562" s="17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4"/>
      <c r="AF562" s="14"/>
    </row>
    <row r="563" spans="2:32" ht="13.5" hidden="1" customHeight="1">
      <c r="B563" s="13"/>
      <c r="C563" s="2"/>
      <c r="D563" s="13"/>
      <c r="E563" s="13"/>
      <c r="F563" s="13"/>
      <c r="G563" s="13"/>
      <c r="H563" s="13"/>
      <c r="I563" s="13"/>
      <c r="J563" s="29"/>
      <c r="K563" s="29"/>
      <c r="L563" s="6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4"/>
      <c r="AF563" s="14"/>
    </row>
    <row r="564" spans="2:32" ht="13.5" hidden="1" customHeight="1">
      <c r="B564" s="13"/>
      <c r="C564" s="2"/>
      <c r="D564" s="13"/>
      <c r="E564" s="13"/>
      <c r="F564" s="13"/>
      <c r="G564" s="13" t="s">
        <v>54</v>
      </c>
      <c r="H564" s="13"/>
      <c r="I564" s="13"/>
      <c r="J564" s="29"/>
      <c r="K564" s="29"/>
      <c r="L564" s="6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4"/>
      <c r="AF564" s="14"/>
    </row>
    <row r="565" spans="2:32" ht="13.5" hidden="1" customHeight="1">
      <c r="B565" s="13"/>
      <c r="C565" s="2"/>
      <c r="D565" s="13"/>
      <c r="E565" s="13"/>
      <c r="F565" s="13"/>
      <c r="G565" s="13"/>
      <c r="H565" s="13"/>
      <c r="I565" s="13"/>
      <c r="J565" s="29"/>
      <c r="K565" s="29"/>
      <c r="L565" s="6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4"/>
      <c r="AF565" s="14"/>
    </row>
    <row r="566" spans="2:32" s="11" customFormat="1" ht="13.5" hidden="1" customHeight="1">
      <c r="B566" s="9"/>
      <c r="C566" s="3"/>
      <c r="D566" s="9"/>
      <c r="E566" s="9"/>
      <c r="F566" s="9" t="s">
        <v>24</v>
      </c>
      <c r="G566" s="9" t="s">
        <v>79</v>
      </c>
      <c r="H566" s="9"/>
      <c r="I566" s="9"/>
      <c r="J566" s="28"/>
      <c r="K566" s="28"/>
      <c r="L566" s="7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10"/>
      <c r="AF566" s="10"/>
    </row>
    <row r="567" spans="2:32" ht="13.5" hidden="1" customHeight="1">
      <c r="B567" s="13"/>
      <c r="C567" s="2"/>
      <c r="D567" s="13"/>
      <c r="E567" s="13"/>
      <c r="F567" s="13"/>
      <c r="G567" s="13"/>
      <c r="H567" s="13"/>
      <c r="I567" s="13"/>
      <c r="J567" s="29"/>
      <c r="K567" s="29"/>
      <c r="L567" s="6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4"/>
      <c r="AF567" s="14"/>
    </row>
    <row r="568" spans="2:32" ht="13.5" hidden="1" customHeight="1">
      <c r="B568" s="13"/>
      <c r="C568" s="2"/>
      <c r="D568" s="13"/>
      <c r="E568" s="13"/>
      <c r="F568" s="13"/>
      <c r="G568" s="13"/>
      <c r="H568" s="13"/>
      <c r="I568" s="113" t="s">
        <v>49</v>
      </c>
      <c r="J568" s="113"/>
      <c r="K568" s="113"/>
      <c r="L568" s="113"/>
      <c r="M568" s="173" t="s">
        <v>1</v>
      </c>
      <c r="N568" s="197" t="s">
        <v>95</v>
      </c>
      <c r="O568" s="198"/>
      <c r="P568" s="198"/>
      <c r="Q568" s="208" t="s">
        <v>8</v>
      </c>
      <c r="R568" s="198"/>
      <c r="S568" s="198" t="s">
        <v>96</v>
      </c>
      <c r="T568" s="198"/>
      <c r="U568" s="198"/>
      <c r="V568" s="13"/>
      <c r="W568" s="13"/>
      <c r="X568" s="13"/>
      <c r="Y568" s="13"/>
      <c r="Z568" s="13"/>
      <c r="AA568" s="13"/>
      <c r="AB568" s="13"/>
      <c r="AC568" s="13"/>
      <c r="AD568" s="13"/>
      <c r="AE568" s="14"/>
      <c r="AF568" s="14"/>
    </row>
    <row r="569" spans="2:32" ht="13.5" hidden="1" customHeight="1">
      <c r="B569" s="13"/>
      <c r="C569" s="2"/>
      <c r="D569" s="13"/>
      <c r="E569" s="13"/>
      <c r="F569" s="13"/>
      <c r="G569" s="13"/>
      <c r="H569" s="13"/>
      <c r="I569" s="113"/>
      <c r="J569" s="113"/>
      <c r="K569" s="113"/>
      <c r="L569" s="113"/>
      <c r="M569" s="113"/>
      <c r="N569" s="199"/>
      <c r="O569" s="113"/>
      <c r="P569" s="113"/>
      <c r="Q569" s="113"/>
      <c r="R569" s="113"/>
      <c r="S569" s="113"/>
      <c r="T569" s="113"/>
      <c r="U569" s="113"/>
      <c r="V569" s="13"/>
      <c r="W569" s="13"/>
      <c r="X569" s="13"/>
      <c r="Y569" s="13"/>
      <c r="Z569" s="13"/>
      <c r="AA569" s="13"/>
      <c r="AB569" s="13"/>
      <c r="AC569" s="13"/>
      <c r="AD569" s="13"/>
      <c r="AE569" s="14"/>
      <c r="AF569" s="14"/>
    </row>
    <row r="570" spans="2:32" ht="13.5" hidden="1" customHeight="1">
      <c r="B570" s="13"/>
      <c r="C570" s="2"/>
      <c r="D570" s="13"/>
      <c r="E570" s="13"/>
      <c r="F570" s="13"/>
      <c r="G570" s="13"/>
      <c r="H570" s="13"/>
      <c r="I570" s="13"/>
      <c r="J570" s="29"/>
      <c r="K570" s="29"/>
      <c r="L570" s="6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4"/>
      <c r="AF570" s="14"/>
    </row>
    <row r="571" spans="2:32" ht="13.5" hidden="1" customHeight="1">
      <c r="B571" s="13"/>
      <c r="C571" s="2"/>
      <c r="D571" s="13"/>
      <c r="E571" s="13"/>
      <c r="F571" s="13"/>
      <c r="G571" s="13"/>
      <c r="H571" s="13"/>
      <c r="I571" s="113" t="s">
        <v>49</v>
      </c>
      <c r="J571" s="113"/>
      <c r="K571" s="113"/>
      <c r="L571" s="113"/>
      <c r="M571" s="173" t="s">
        <v>1</v>
      </c>
      <c r="N571" s="206" t="e">
        <f>N549*N549</f>
        <v>#REF!</v>
      </c>
      <c r="O571" s="195"/>
      <c r="P571" s="195"/>
      <c r="Q571" s="208" t="s">
        <v>8</v>
      </c>
      <c r="R571" s="198"/>
      <c r="S571" s="195" t="e">
        <f>N560*N560</f>
        <v>#REF!</v>
      </c>
      <c r="T571" s="195"/>
      <c r="U571" s="195"/>
      <c r="V571" s="13"/>
      <c r="W571" s="13"/>
      <c r="X571" s="13"/>
      <c r="Y571" s="13"/>
      <c r="Z571" s="13"/>
      <c r="AA571" s="13"/>
      <c r="AB571" s="13"/>
      <c r="AC571" s="13"/>
      <c r="AD571" s="13"/>
      <c r="AE571" s="14"/>
      <c r="AF571" s="14"/>
    </row>
    <row r="572" spans="2:32" ht="13.5" hidden="1" customHeight="1">
      <c r="B572" s="13"/>
      <c r="C572" s="2"/>
      <c r="D572" s="13"/>
      <c r="E572" s="13"/>
      <c r="F572" s="13"/>
      <c r="G572" s="13"/>
      <c r="H572" s="13"/>
      <c r="I572" s="113"/>
      <c r="J572" s="113"/>
      <c r="K572" s="113"/>
      <c r="L572" s="113"/>
      <c r="M572" s="113"/>
      <c r="N572" s="207"/>
      <c r="O572" s="176"/>
      <c r="P572" s="176"/>
      <c r="Q572" s="113"/>
      <c r="R572" s="113"/>
      <c r="S572" s="176"/>
      <c r="T572" s="176"/>
      <c r="U572" s="176"/>
      <c r="V572" s="13"/>
      <c r="W572" s="13"/>
      <c r="X572" s="13"/>
      <c r="Y572" s="13"/>
      <c r="Z572" s="13"/>
      <c r="AA572" s="13"/>
      <c r="AB572" s="13"/>
      <c r="AC572" s="13"/>
      <c r="AD572" s="13"/>
      <c r="AE572" s="14"/>
      <c r="AF572" s="14"/>
    </row>
    <row r="573" spans="2:32" ht="13.5" hidden="1" customHeight="1">
      <c r="B573" s="13"/>
      <c r="C573" s="2"/>
      <c r="D573" s="13"/>
      <c r="E573" s="13"/>
      <c r="F573" s="13"/>
      <c r="G573" s="13"/>
      <c r="H573" s="13"/>
      <c r="I573" s="13"/>
      <c r="J573" s="29"/>
      <c r="K573" s="29"/>
      <c r="L573" s="6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4"/>
      <c r="AF573" s="14"/>
    </row>
    <row r="574" spans="2:32" ht="13.5" hidden="1" customHeight="1">
      <c r="B574" s="13"/>
      <c r="C574" s="2"/>
      <c r="D574" s="13"/>
      <c r="E574" s="13"/>
      <c r="F574" s="13"/>
      <c r="G574" s="13"/>
      <c r="H574" s="13"/>
      <c r="I574" s="113" t="s">
        <v>49</v>
      </c>
      <c r="J574" s="113"/>
      <c r="K574" s="113"/>
      <c r="L574" s="113"/>
      <c r="M574" s="173" t="s">
        <v>1</v>
      </c>
      <c r="N574" s="176" t="e">
        <f>SQRT(N571+S571)</f>
        <v>#REF!</v>
      </c>
      <c r="O574" s="176"/>
      <c r="P574" s="176"/>
      <c r="Q574" s="176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4"/>
      <c r="AF574" s="14"/>
    </row>
    <row r="575" spans="2:32" ht="13.5" hidden="1" customHeight="1">
      <c r="B575" s="13"/>
      <c r="C575" s="2"/>
      <c r="D575" s="13"/>
      <c r="E575" s="13"/>
      <c r="F575" s="13"/>
      <c r="G575" s="13"/>
      <c r="H575" s="13"/>
      <c r="I575" s="113"/>
      <c r="J575" s="113"/>
      <c r="K575" s="113"/>
      <c r="L575" s="113"/>
      <c r="M575" s="113"/>
      <c r="N575" s="176"/>
      <c r="O575" s="176"/>
      <c r="P575" s="176"/>
      <c r="Q575" s="176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4"/>
      <c r="AF575" s="14"/>
    </row>
    <row r="576" spans="2:32" ht="13.5" hidden="1" customHeight="1">
      <c r="B576" s="21"/>
      <c r="C576" s="34"/>
      <c r="D576" s="21"/>
      <c r="E576" s="21"/>
      <c r="F576" s="21"/>
      <c r="G576" s="21"/>
      <c r="H576" s="21"/>
      <c r="I576" s="21"/>
      <c r="J576" s="35"/>
      <c r="K576" s="35"/>
      <c r="L576" s="35"/>
      <c r="M576" s="21"/>
      <c r="N576" s="36"/>
      <c r="O576" s="36"/>
      <c r="P576" s="36"/>
      <c r="Q576" s="36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3"/>
      <c r="AF576" s="14"/>
    </row>
    <row r="577" spans="2:32" ht="13.5" hidden="1" customHeight="1">
      <c r="B577" s="13"/>
      <c r="C577" s="2"/>
      <c r="D577" s="13"/>
      <c r="E577" s="13"/>
      <c r="F577" s="13"/>
      <c r="G577" s="13"/>
      <c r="H577" s="13"/>
      <c r="I577" s="13"/>
      <c r="J577" s="29"/>
      <c r="K577" s="29"/>
      <c r="L577" s="29"/>
      <c r="M577" s="13"/>
      <c r="N577" s="17"/>
      <c r="O577" s="17"/>
      <c r="P577" s="17"/>
      <c r="Q577" s="17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4"/>
      <c r="AF577" s="14"/>
    </row>
    <row r="578" spans="2:32" s="11" customFormat="1" ht="13.5" hidden="1" customHeight="1">
      <c r="B578" s="9"/>
      <c r="C578" s="9" t="s">
        <v>58</v>
      </c>
      <c r="D578" s="9"/>
      <c r="E578" s="9" t="s">
        <v>53</v>
      </c>
      <c r="F578" s="9"/>
      <c r="G578" s="20"/>
      <c r="H578" s="37"/>
      <c r="I578" s="7"/>
      <c r="J578" s="7"/>
      <c r="K578" s="7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10"/>
      <c r="AF578" s="10"/>
    </row>
    <row r="579" spans="2:32" ht="13.5" hidden="1" customHeight="1">
      <c r="B579" s="13"/>
      <c r="C579" s="13"/>
      <c r="D579" s="13"/>
      <c r="E579" s="13"/>
      <c r="F579" s="13"/>
      <c r="G579" s="18"/>
      <c r="H579" s="38"/>
      <c r="I579" s="6"/>
      <c r="J579" s="6"/>
      <c r="K579" s="6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4"/>
      <c r="AF579" s="14"/>
    </row>
    <row r="580" spans="2:32" ht="13.5" hidden="1" customHeight="1">
      <c r="B580" s="13"/>
      <c r="C580" s="13"/>
      <c r="D580" s="13"/>
      <c r="E580" s="125" t="s">
        <v>91</v>
      </c>
      <c r="F580" s="125"/>
      <c r="G580" s="30" t="s">
        <v>1</v>
      </c>
      <c r="H580" s="125" t="s">
        <v>92</v>
      </c>
      <c r="I580" s="125"/>
      <c r="J580" s="125"/>
      <c r="K580" s="175" t="s">
        <v>8</v>
      </c>
      <c r="L580" s="125"/>
      <c r="M580" s="125" t="s">
        <v>100</v>
      </c>
      <c r="N580" s="125"/>
      <c r="O580" s="125"/>
      <c r="P580" s="175" t="s">
        <v>8</v>
      </c>
      <c r="Q580" s="175"/>
      <c r="R580" s="125" t="s">
        <v>69</v>
      </c>
      <c r="S580" s="125"/>
      <c r="T580" s="125"/>
      <c r="U580" s="30" t="s">
        <v>8</v>
      </c>
      <c r="V580" s="128" t="s">
        <v>25</v>
      </c>
      <c r="W580" s="128"/>
      <c r="X580" s="128"/>
      <c r="Y580" s="30" t="s">
        <v>8</v>
      </c>
      <c r="Z580" s="128" t="s">
        <v>49</v>
      </c>
      <c r="AA580" s="128"/>
      <c r="AB580" s="128"/>
      <c r="AC580" s="128"/>
      <c r="AD580" s="2"/>
      <c r="AE580" s="14"/>
      <c r="AF580" s="14"/>
    </row>
    <row r="581" spans="2:32" ht="13.5" hidden="1" customHeight="1">
      <c r="B581" s="13"/>
      <c r="C581" s="13"/>
      <c r="D581" s="13"/>
      <c r="E581" s="125" t="s">
        <v>91</v>
      </c>
      <c r="F581" s="125"/>
      <c r="G581" s="30" t="s">
        <v>1</v>
      </c>
      <c r="H581" s="177" t="e">
        <f>#REF!</f>
        <v>#REF!</v>
      </c>
      <c r="I581" s="177"/>
      <c r="J581" s="177"/>
      <c r="K581" s="175" t="s">
        <v>8</v>
      </c>
      <c r="L581" s="125"/>
      <c r="M581" s="177" t="e">
        <f>#REF!</f>
        <v>#REF!</v>
      </c>
      <c r="N581" s="177"/>
      <c r="O581" s="177"/>
      <c r="P581" s="175" t="s">
        <v>8</v>
      </c>
      <c r="Q581" s="175"/>
      <c r="R581" s="177" t="e">
        <f>#REF!</f>
        <v>#REF!</v>
      </c>
      <c r="S581" s="177"/>
      <c r="T581" s="177"/>
      <c r="U581" s="30" t="s">
        <v>8</v>
      </c>
      <c r="V581" s="177">
        <v>4.5348479192091611E-2</v>
      </c>
      <c r="W581" s="177"/>
      <c r="X581" s="177"/>
      <c r="Y581" s="30" t="s">
        <v>8</v>
      </c>
      <c r="Z581" s="213" t="e">
        <f>N574</f>
        <v>#REF!</v>
      </c>
      <c r="AA581" s="213"/>
      <c r="AB581" s="213"/>
      <c r="AC581" s="213"/>
      <c r="AD581" s="39"/>
      <c r="AE581" s="14"/>
      <c r="AF581" s="14"/>
    </row>
    <row r="582" spans="2:32" ht="13.5" hidden="1" customHeight="1">
      <c r="B582" s="13"/>
      <c r="C582" s="13"/>
      <c r="D582" s="13"/>
      <c r="E582" s="125" t="s">
        <v>91</v>
      </c>
      <c r="F582" s="125"/>
      <c r="G582" s="30" t="s">
        <v>1</v>
      </c>
      <c r="H582" s="177" t="e">
        <f>H581+M581+R581+V581+Z581</f>
        <v>#REF!</v>
      </c>
      <c r="I582" s="177"/>
      <c r="J582" s="177"/>
      <c r="K582" s="175"/>
      <c r="L582" s="125"/>
      <c r="M582" s="125"/>
      <c r="N582" s="125"/>
      <c r="O582" s="125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4"/>
      <c r="AF582" s="14"/>
    </row>
    <row r="583" spans="2:32" ht="13.5" hidden="1" customHeight="1">
      <c r="B583" s="13"/>
      <c r="C583" s="2"/>
      <c r="D583" s="13"/>
      <c r="E583" s="13"/>
      <c r="F583" s="13"/>
      <c r="G583" s="13"/>
      <c r="H583" s="13"/>
      <c r="I583" s="13"/>
      <c r="J583" s="29"/>
      <c r="K583" s="29"/>
      <c r="L583" s="29"/>
      <c r="M583" s="13"/>
      <c r="N583" s="17"/>
      <c r="O583" s="17"/>
      <c r="P583" s="17"/>
      <c r="Q583" s="17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4"/>
      <c r="AF583" s="14"/>
    </row>
    <row r="584" spans="2:32" ht="13.5" hidden="1" customHeight="1">
      <c r="B584" s="13"/>
      <c r="C584" s="2"/>
      <c r="D584" s="13"/>
      <c r="E584" s="13"/>
      <c r="F584" s="13"/>
      <c r="G584" s="13"/>
      <c r="H584" s="13"/>
      <c r="I584" s="13"/>
      <c r="J584" s="29"/>
      <c r="K584" s="29"/>
      <c r="L584" s="29"/>
      <c r="M584" s="13"/>
      <c r="N584" s="17"/>
      <c r="O584" s="17"/>
      <c r="P584" s="17"/>
      <c r="Q584" s="17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4"/>
      <c r="AF584" s="14"/>
    </row>
    <row r="585" spans="2:32" s="11" customFormat="1" ht="13.5" hidden="1" customHeight="1">
      <c r="B585" s="9"/>
      <c r="C585" s="3"/>
      <c r="D585" s="9"/>
      <c r="E585" s="9"/>
      <c r="F585" s="9" t="s">
        <v>59</v>
      </c>
      <c r="G585" s="9" t="s">
        <v>83</v>
      </c>
      <c r="H585" s="9"/>
      <c r="I585" s="9"/>
      <c r="J585" s="28"/>
      <c r="K585" s="28"/>
      <c r="L585" s="7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10"/>
      <c r="AF585" s="10"/>
    </row>
    <row r="586" spans="2:32" ht="13.5" hidden="1" customHeight="1">
      <c r="B586" s="13"/>
      <c r="C586" s="2"/>
      <c r="D586" s="13"/>
      <c r="E586" s="13"/>
      <c r="F586" s="13"/>
      <c r="G586" s="13"/>
      <c r="H586" s="13"/>
      <c r="I586" s="13"/>
      <c r="J586" s="29"/>
      <c r="K586" s="29"/>
      <c r="L586" s="6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4"/>
      <c r="AF586" s="14"/>
    </row>
    <row r="587" spans="2:32" ht="13.5" hidden="1" customHeight="1">
      <c r="B587" s="13"/>
      <c r="C587" s="2"/>
      <c r="D587" s="13"/>
      <c r="E587" s="13"/>
      <c r="F587" s="13"/>
      <c r="G587" s="13"/>
      <c r="H587" s="13"/>
      <c r="I587" s="13"/>
      <c r="J587" s="205" t="s">
        <v>93</v>
      </c>
      <c r="K587" s="205"/>
      <c r="L587" s="173" t="s">
        <v>1</v>
      </c>
      <c r="M587" s="146" t="s">
        <v>72</v>
      </c>
      <c r="N587" s="146"/>
      <c r="O587" s="146"/>
      <c r="P587" s="146"/>
      <c r="Q587" s="146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4"/>
      <c r="AF587" s="14"/>
    </row>
    <row r="588" spans="2:32" ht="13.5" hidden="1" customHeight="1">
      <c r="B588" s="13"/>
      <c r="C588" s="2"/>
      <c r="D588" s="13"/>
      <c r="E588" s="13"/>
      <c r="F588" s="13"/>
      <c r="G588" s="13"/>
      <c r="H588" s="13"/>
      <c r="I588" s="13"/>
      <c r="J588" s="205"/>
      <c r="K588" s="205"/>
      <c r="L588" s="173"/>
      <c r="M588" s="126" t="s">
        <v>70</v>
      </c>
      <c r="N588" s="126"/>
      <c r="O588" s="126"/>
      <c r="P588" s="126"/>
      <c r="Q588" s="126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4"/>
      <c r="AF588" s="14"/>
    </row>
    <row r="589" spans="2:32" ht="13.5" hidden="1" customHeight="1">
      <c r="B589" s="13"/>
      <c r="C589" s="2"/>
      <c r="D589" s="13"/>
      <c r="E589" s="13"/>
      <c r="F589" s="13"/>
      <c r="G589" s="13"/>
      <c r="H589" s="13"/>
      <c r="I589" s="13"/>
      <c r="J589" s="29"/>
      <c r="K589" s="29"/>
      <c r="L589" s="6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4"/>
      <c r="AF589" s="14"/>
    </row>
    <row r="590" spans="2:32" ht="13.5" hidden="1" customHeight="1">
      <c r="B590" s="13"/>
      <c r="C590" s="2"/>
      <c r="D590" s="13"/>
      <c r="E590" s="13"/>
      <c r="F590" s="13"/>
      <c r="G590" s="13"/>
      <c r="H590" s="13"/>
      <c r="I590" s="13"/>
      <c r="J590" s="205" t="s">
        <v>93</v>
      </c>
      <c r="K590" s="205"/>
      <c r="L590" s="173" t="s">
        <v>1</v>
      </c>
      <c r="M590" s="174" t="e">
        <f>#REF!</f>
        <v>#REF!</v>
      </c>
      <c r="N590" s="174"/>
      <c r="O590" s="174"/>
      <c r="P590" s="174"/>
      <c r="Q590" s="174"/>
      <c r="R590" s="174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4"/>
      <c r="AF590" s="14"/>
    </row>
    <row r="591" spans="2:32" ht="13.5" hidden="1" customHeight="1">
      <c r="B591" s="13"/>
      <c r="C591" s="2"/>
      <c r="D591" s="13"/>
      <c r="E591" s="13"/>
      <c r="F591" s="13"/>
      <c r="G591" s="13"/>
      <c r="H591" s="13"/>
      <c r="I591" s="13"/>
      <c r="J591" s="205"/>
      <c r="K591" s="205"/>
      <c r="L591" s="173"/>
      <c r="M591" s="31">
        <v>4</v>
      </c>
      <c r="N591" s="6" t="s">
        <v>73</v>
      </c>
      <c r="O591" s="211">
        <v>800</v>
      </c>
      <c r="P591" s="211"/>
      <c r="Q591" s="211"/>
      <c r="R591" s="211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4"/>
      <c r="AF591" s="14"/>
    </row>
    <row r="592" spans="2:32" ht="13.5" hidden="1" customHeight="1">
      <c r="B592" s="13"/>
      <c r="C592" s="2"/>
      <c r="D592" s="13"/>
      <c r="E592" s="13"/>
      <c r="F592" s="13"/>
      <c r="G592" s="13"/>
      <c r="H592" s="13"/>
      <c r="I592" s="13"/>
      <c r="J592" s="29"/>
      <c r="K592" s="29"/>
      <c r="L592" s="6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4"/>
      <c r="AF592" s="14"/>
    </row>
    <row r="593" spans="2:32" ht="13.5" hidden="1" customHeight="1">
      <c r="B593" s="13"/>
      <c r="C593" s="2"/>
      <c r="D593" s="13"/>
      <c r="E593" s="13"/>
      <c r="F593" s="13"/>
      <c r="G593" s="13"/>
      <c r="H593" s="13"/>
      <c r="I593" s="13"/>
      <c r="J593" s="205" t="s">
        <v>93</v>
      </c>
      <c r="K593" s="205"/>
      <c r="L593" s="173" t="s">
        <v>1</v>
      </c>
      <c r="M593" s="113"/>
      <c r="N593" s="176" t="e">
        <f>M590/M591/O591</f>
        <v>#REF!</v>
      </c>
      <c r="O593" s="176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4"/>
      <c r="AF593" s="14"/>
    </row>
    <row r="594" spans="2:32" ht="13.5" hidden="1" customHeight="1">
      <c r="B594" s="13"/>
      <c r="C594" s="2"/>
      <c r="D594" s="13"/>
      <c r="E594" s="13"/>
      <c r="F594" s="13"/>
      <c r="G594" s="13"/>
      <c r="H594" s="13"/>
      <c r="I594" s="13"/>
      <c r="J594" s="205"/>
      <c r="K594" s="205"/>
      <c r="L594" s="173"/>
      <c r="M594" s="113"/>
      <c r="N594" s="176"/>
      <c r="O594" s="176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4"/>
      <c r="AF594" s="14"/>
    </row>
    <row r="595" spans="2:32" ht="13.5" hidden="1" customHeight="1">
      <c r="B595" s="13"/>
      <c r="C595" s="2"/>
      <c r="D595" s="13"/>
      <c r="E595" s="13"/>
      <c r="F595" s="13"/>
      <c r="G595" s="13"/>
      <c r="H595" s="13"/>
      <c r="I595" s="13"/>
      <c r="J595" s="29"/>
      <c r="K595" s="29"/>
      <c r="L595" s="29"/>
      <c r="M595" s="13"/>
      <c r="N595" s="17"/>
      <c r="O595" s="17"/>
      <c r="P595" s="17"/>
      <c r="Q595" s="17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4"/>
      <c r="AF595" s="14"/>
    </row>
    <row r="596" spans="2:32" ht="13.5" hidden="1" customHeight="1">
      <c r="B596" s="13"/>
      <c r="C596" s="2"/>
      <c r="D596" s="13"/>
      <c r="E596" s="13"/>
      <c r="F596" s="13"/>
      <c r="G596" s="13"/>
      <c r="H596" s="13"/>
      <c r="I596" s="13"/>
      <c r="J596" s="29"/>
      <c r="K596" s="29"/>
      <c r="L596" s="29"/>
      <c r="M596" s="13"/>
      <c r="N596" s="17"/>
      <c r="O596" s="17"/>
      <c r="P596" s="17"/>
      <c r="Q596" s="17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4"/>
      <c r="AF596" s="14"/>
    </row>
    <row r="597" spans="2:32" s="11" customFormat="1" ht="13.5" hidden="1" customHeight="1">
      <c r="B597" s="9"/>
      <c r="C597" s="3"/>
      <c r="D597" s="9"/>
      <c r="E597" s="9"/>
      <c r="F597" s="9" t="s">
        <v>84</v>
      </c>
      <c r="G597" s="209" t="s">
        <v>148</v>
      </c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10"/>
      <c r="AF597" s="10"/>
    </row>
    <row r="598" spans="2:32" ht="13.5" hidden="1" customHeight="1">
      <c r="B598" s="13"/>
      <c r="C598" s="2"/>
      <c r="D598" s="13"/>
      <c r="E598" s="13"/>
      <c r="F598" s="13"/>
      <c r="G598" s="13"/>
      <c r="H598" s="13"/>
      <c r="I598" s="13"/>
      <c r="J598" s="29"/>
      <c r="K598" s="29"/>
      <c r="L598" s="6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4"/>
      <c r="AF598" s="14"/>
    </row>
    <row r="599" spans="2:32" ht="13.5" hidden="1" customHeight="1">
      <c r="B599" s="13"/>
      <c r="C599" s="2"/>
      <c r="D599" s="13"/>
      <c r="E599" s="13"/>
      <c r="F599" s="13"/>
      <c r="G599" s="13"/>
      <c r="H599" s="13"/>
      <c r="I599" s="13"/>
      <c r="J599" s="113" t="s">
        <v>50</v>
      </c>
      <c r="K599" s="113"/>
      <c r="L599" s="113"/>
      <c r="M599" s="173" t="s">
        <v>1</v>
      </c>
      <c r="N599" s="146" t="s">
        <v>91</v>
      </c>
      <c r="O599" s="146"/>
      <c r="P599" s="146"/>
      <c r="Q599" s="146" t="s">
        <v>73</v>
      </c>
      <c r="R599" s="146"/>
      <c r="S599" s="146" t="s">
        <v>93</v>
      </c>
      <c r="T599" s="146"/>
      <c r="U599" s="146"/>
      <c r="V599" s="13"/>
      <c r="W599" s="13"/>
      <c r="X599" s="13"/>
      <c r="Y599" s="13"/>
      <c r="Z599" s="13"/>
      <c r="AA599" s="13"/>
      <c r="AB599" s="13"/>
      <c r="AC599" s="13"/>
      <c r="AD599" s="13"/>
      <c r="AE599" s="14"/>
      <c r="AF599" s="14"/>
    </row>
    <row r="600" spans="2:32" ht="13.5" hidden="1" customHeight="1">
      <c r="B600" s="13"/>
      <c r="C600" s="2"/>
      <c r="D600" s="13"/>
      <c r="E600" s="13"/>
      <c r="F600" s="13"/>
      <c r="G600" s="13"/>
      <c r="H600" s="13"/>
      <c r="I600" s="13"/>
      <c r="J600" s="113"/>
      <c r="K600" s="113"/>
      <c r="L600" s="113"/>
      <c r="M600" s="113"/>
      <c r="N600" s="125" t="s">
        <v>91</v>
      </c>
      <c r="O600" s="125"/>
      <c r="P600" s="125"/>
      <c r="Q600" s="175" t="s">
        <v>8</v>
      </c>
      <c r="R600" s="125"/>
      <c r="S600" s="125" t="s">
        <v>93</v>
      </c>
      <c r="T600" s="125"/>
      <c r="U600" s="125"/>
      <c r="V600" s="13"/>
      <c r="W600" s="13"/>
      <c r="X600" s="13"/>
      <c r="Y600" s="13"/>
      <c r="Z600" s="13"/>
      <c r="AA600" s="13"/>
      <c r="AB600" s="13"/>
      <c r="AC600" s="13"/>
      <c r="AD600" s="13"/>
      <c r="AE600" s="14"/>
      <c r="AF600" s="14"/>
    </row>
    <row r="601" spans="2:32" ht="13.5" hidden="1" customHeight="1">
      <c r="B601" s="13"/>
      <c r="C601" s="2"/>
      <c r="D601" s="13"/>
      <c r="E601" s="13"/>
      <c r="F601" s="13"/>
      <c r="G601" s="13"/>
      <c r="H601" s="13"/>
      <c r="I601" s="13"/>
      <c r="J601" s="29"/>
      <c r="K601" s="29"/>
      <c r="L601" s="6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4"/>
      <c r="AF601" s="14"/>
    </row>
    <row r="602" spans="2:32" ht="13.5" hidden="1" customHeight="1">
      <c r="B602" s="13"/>
      <c r="C602" s="2"/>
      <c r="D602" s="13"/>
      <c r="E602" s="13"/>
      <c r="F602" s="13"/>
      <c r="G602" s="13"/>
      <c r="H602" s="13"/>
      <c r="I602" s="13"/>
      <c r="J602" s="113" t="s">
        <v>50</v>
      </c>
      <c r="K602" s="113"/>
      <c r="L602" s="113"/>
      <c r="M602" s="173" t="s">
        <v>1</v>
      </c>
      <c r="N602" s="174" t="e">
        <f>H582</f>
        <v>#REF!</v>
      </c>
      <c r="O602" s="174"/>
      <c r="P602" s="174"/>
      <c r="Q602" s="146" t="s">
        <v>73</v>
      </c>
      <c r="R602" s="146"/>
      <c r="S602" s="174" t="e">
        <f>N593</f>
        <v>#REF!</v>
      </c>
      <c r="T602" s="174"/>
      <c r="U602" s="174"/>
      <c r="V602" s="13"/>
      <c r="W602" s="13"/>
      <c r="X602" s="13"/>
      <c r="Y602" s="13"/>
      <c r="Z602" s="13"/>
      <c r="AA602" s="13"/>
      <c r="AB602" s="13"/>
      <c r="AC602" s="13"/>
      <c r="AD602" s="13"/>
      <c r="AE602" s="14"/>
      <c r="AF602" s="14"/>
    </row>
    <row r="603" spans="2:32" ht="13.5" hidden="1" customHeight="1">
      <c r="B603" s="13"/>
      <c r="C603" s="2"/>
      <c r="D603" s="13"/>
      <c r="E603" s="13"/>
      <c r="F603" s="13"/>
      <c r="G603" s="13"/>
      <c r="H603" s="13"/>
      <c r="I603" s="13"/>
      <c r="J603" s="113"/>
      <c r="K603" s="113"/>
      <c r="L603" s="113"/>
      <c r="M603" s="113"/>
      <c r="N603" s="196" t="e">
        <f>H582</f>
        <v>#REF!</v>
      </c>
      <c r="O603" s="196"/>
      <c r="P603" s="196"/>
      <c r="Q603" s="210" t="s">
        <v>8</v>
      </c>
      <c r="R603" s="126"/>
      <c r="S603" s="196" t="e">
        <f>N593</f>
        <v>#REF!</v>
      </c>
      <c r="T603" s="196"/>
      <c r="U603" s="196"/>
      <c r="V603" s="13"/>
      <c r="W603" s="13"/>
      <c r="X603" s="13"/>
      <c r="Y603" s="13"/>
      <c r="Z603" s="13"/>
      <c r="AA603" s="13"/>
      <c r="AB603" s="13"/>
      <c r="AC603" s="13"/>
      <c r="AD603" s="13"/>
      <c r="AE603" s="14"/>
      <c r="AF603" s="14"/>
    </row>
    <row r="604" spans="2:32" ht="13.5" hidden="1" customHeight="1">
      <c r="B604" s="13"/>
      <c r="C604" s="2"/>
      <c r="D604" s="13"/>
      <c r="E604" s="13"/>
      <c r="F604" s="13"/>
      <c r="G604" s="13"/>
      <c r="H604" s="13"/>
      <c r="I604" s="13"/>
      <c r="J604" s="29"/>
      <c r="K604" s="29"/>
      <c r="L604" s="6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4"/>
      <c r="AF604" s="14"/>
    </row>
    <row r="605" spans="2:32" ht="13.5" hidden="1" customHeight="1">
      <c r="B605" s="13"/>
      <c r="C605" s="2"/>
      <c r="D605" s="13"/>
      <c r="E605" s="13"/>
      <c r="F605" s="13"/>
      <c r="G605" s="13"/>
      <c r="H605" s="13"/>
      <c r="I605" s="13"/>
      <c r="J605" s="113" t="s">
        <v>50</v>
      </c>
      <c r="K605" s="113"/>
      <c r="L605" s="113"/>
      <c r="M605" s="173" t="s">
        <v>1</v>
      </c>
      <c r="N605" s="176" t="e">
        <f>(N602*S602)/(N603+S603)</f>
        <v>#REF!</v>
      </c>
      <c r="O605" s="176"/>
      <c r="P605" s="176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4"/>
      <c r="AF605" s="14"/>
    </row>
    <row r="606" spans="2:32" ht="13.5" hidden="1" customHeight="1">
      <c r="B606" s="13"/>
      <c r="C606" s="2"/>
      <c r="D606" s="13"/>
      <c r="E606" s="13"/>
      <c r="F606" s="13"/>
      <c r="G606" s="13"/>
      <c r="H606" s="13"/>
      <c r="I606" s="13"/>
      <c r="J606" s="113"/>
      <c r="K606" s="113"/>
      <c r="L606" s="113"/>
      <c r="M606" s="113"/>
      <c r="N606" s="176"/>
      <c r="O606" s="176"/>
      <c r="P606" s="176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4"/>
      <c r="AF606" s="14"/>
    </row>
    <row r="607" spans="2:32" ht="13.5" hidden="1" customHeight="1">
      <c r="B607" s="13"/>
      <c r="C607" s="2"/>
      <c r="D607" s="13"/>
      <c r="E607" s="13"/>
      <c r="F607" s="13"/>
      <c r="G607" s="13"/>
      <c r="H607" s="13"/>
      <c r="I607" s="13"/>
      <c r="J607" s="17"/>
      <c r="K607" s="17"/>
      <c r="L607" s="17"/>
      <c r="M607" s="17"/>
      <c r="N607" s="17"/>
      <c r="O607" s="17"/>
      <c r="P607" s="17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4"/>
      <c r="AF607" s="14"/>
    </row>
    <row r="608" spans="2:32" ht="13.5" hidden="1" customHeight="1">
      <c r="B608" s="13"/>
      <c r="C608" s="2"/>
      <c r="D608" s="13"/>
      <c r="E608" s="13"/>
      <c r="F608" s="13"/>
      <c r="G608" s="13"/>
      <c r="H608" s="13"/>
      <c r="I608" s="13"/>
      <c r="J608" s="29"/>
      <c r="K608" s="29"/>
      <c r="L608" s="29"/>
      <c r="M608" s="13"/>
      <c r="N608" s="17"/>
      <c r="O608" s="17"/>
      <c r="P608" s="17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4"/>
      <c r="AF608" s="14"/>
    </row>
    <row r="609" spans="2:32" s="11" customFormat="1" ht="13.5" hidden="1" customHeight="1">
      <c r="B609" s="9"/>
      <c r="C609" s="3"/>
      <c r="D609" s="9"/>
      <c r="E609" s="9"/>
      <c r="F609" s="9" t="s">
        <v>85</v>
      </c>
      <c r="G609" s="9" t="s">
        <v>51</v>
      </c>
      <c r="H609" s="9"/>
      <c r="I609" s="9"/>
      <c r="J609" s="28"/>
      <c r="K609" s="28"/>
      <c r="L609" s="28"/>
      <c r="M609" s="9"/>
      <c r="N609" s="16"/>
      <c r="O609" s="16"/>
      <c r="P609" s="16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10"/>
      <c r="AF609" s="10"/>
    </row>
    <row r="610" spans="2:32" ht="13.5" hidden="1" customHeight="1">
      <c r="B610" s="13"/>
      <c r="C610" s="2"/>
      <c r="D610" s="13"/>
      <c r="E610" s="13"/>
      <c r="F610" s="13"/>
      <c r="G610" s="13"/>
      <c r="H610" s="13"/>
      <c r="I610" s="13"/>
      <c r="J610" s="29"/>
      <c r="K610" s="29"/>
      <c r="L610" s="6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4"/>
      <c r="AF610" s="14"/>
    </row>
    <row r="611" spans="2:32" ht="13.5" hidden="1" customHeight="1">
      <c r="B611" s="13"/>
      <c r="C611" s="2"/>
      <c r="D611" s="13"/>
      <c r="E611" s="13"/>
      <c r="F611" s="13"/>
      <c r="G611" s="13"/>
      <c r="H611" s="13"/>
      <c r="I611" s="13"/>
      <c r="J611" s="113" t="s">
        <v>52</v>
      </c>
      <c r="K611" s="113"/>
      <c r="L611" s="113"/>
      <c r="M611" s="173" t="s">
        <v>1</v>
      </c>
      <c r="N611" s="146" t="s">
        <v>74</v>
      </c>
      <c r="O611" s="146"/>
      <c r="P611" s="146"/>
      <c r="Q611" s="146"/>
      <c r="R611" s="146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4"/>
      <c r="AF611" s="14"/>
    </row>
    <row r="612" spans="2:32" ht="13.5" hidden="1" customHeight="1">
      <c r="B612" s="13"/>
      <c r="C612" s="2"/>
      <c r="D612" s="13"/>
      <c r="E612" s="13"/>
      <c r="F612" s="13"/>
      <c r="G612" s="13"/>
      <c r="H612" s="13"/>
      <c r="I612" s="13"/>
      <c r="J612" s="113"/>
      <c r="K612" s="113"/>
      <c r="L612" s="113"/>
      <c r="M612" s="113"/>
      <c r="N612" s="125" t="s">
        <v>50</v>
      </c>
      <c r="O612" s="125"/>
      <c r="P612" s="125"/>
      <c r="Q612" s="125"/>
      <c r="R612" s="125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4"/>
      <c r="AF612" s="14"/>
    </row>
    <row r="613" spans="2:32" ht="13.5" hidden="1" customHeight="1">
      <c r="B613" s="13"/>
      <c r="C613" s="2"/>
      <c r="D613" s="13"/>
      <c r="E613" s="13"/>
      <c r="F613" s="13"/>
      <c r="G613" s="13"/>
      <c r="H613" s="13"/>
      <c r="I613" s="13"/>
      <c r="J613" s="29"/>
      <c r="K613" s="29"/>
      <c r="L613" s="6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4"/>
      <c r="AF613" s="14"/>
    </row>
    <row r="614" spans="2:32" ht="13.5" hidden="1" customHeight="1">
      <c r="B614" s="13"/>
      <c r="C614" s="2"/>
      <c r="D614" s="13"/>
      <c r="E614" s="13"/>
      <c r="F614" s="13"/>
      <c r="G614" s="13"/>
      <c r="H614" s="13"/>
      <c r="I614" s="13"/>
      <c r="J614" s="113" t="s">
        <v>52</v>
      </c>
      <c r="K614" s="113"/>
      <c r="L614" s="113"/>
      <c r="M614" s="13"/>
      <c r="N614" s="174">
        <f>$K$81</f>
        <v>0</v>
      </c>
      <c r="O614" s="174"/>
      <c r="P614" s="174"/>
      <c r="Q614" s="174"/>
      <c r="R614" s="174"/>
      <c r="S614" s="174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4"/>
      <c r="AF614" s="14"/>
    </row>
    <row r="615" spans="2:32" ht="13.5" hidden="1" customHeight="1">
      <c r="B615" s="13"/>
      <c r="C615" s="2"/>
      <c r="D615" s="13"/>
      <c r="E615" s="13"/>
      <c r="F615" s="13"/>
      <c r="G615" s="13"/>
      <c r="H615" s="13"/>
      <c r="I615" s="13"/>
      <c r="J615" s="113"/>
      <c r="K615" s="113"/>
      <c r="L615" s="113"/>
      <c r="M615" s="13"/>
      <c r="N615" s="196" t="e">
        <f>N605</f>
        <v>#REF!</v>
      </c>
      <c r="O615" s="196"/>
      <c r="P615" s="196"/>
      <c r="Q615" s="196"/>
      <c r="R615" s="196"/>
      <c r="S615" s="196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4"/>
      <c r="AF615" s="14"/>
    </row>
    <row r="616" spans="2:32" ht="13.5" hidden="1" customHeight="1">
      <c r="B616" s="13"/>
      <c r="C616" s="2"/>
      <c r="D616" s="13"/>
      <c r="E616" s="13"/>
      <c r="F616" s="13"/>
      <c r="G616" s="13"/>
      <c r="H616" s="13"/>
      <c r="I616" s="13"/>
      <c r="J616" s="29"/>
      <c r="K616" s="29"/>
      <c r="L616" s="6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4"/>
      <c r="AF616" s="14"/>
    </row>
    <row r="617" spans="2:32" ht="13.5" hidden="1" customHeight="1">
      <c r="B617" s="13"/>
      <c r="C617" s="2"/>
      <c r="D617" s="13"/>
      <c r="E617" s="13"/>
      <c r="F617" s="13"/>
      <c r="G617" s="13"/>
      <c r="H617" s="13"/>
      <c r="I617" s="13"/>
      <c r="J617" s="113" t="s">
        <v>52</v>
      </c>
      <c r="K617" s="113"/>
      <c r="L617" s="113"/>
      <c r="M617" s="113" t="s">
        <v>1</v>
      </c>
      <c r="N617" s="113"/>
      <c r="O617" s="176" t="e">
        <f>N614/N615</f>
        <v>#REF!</v>
      </c>
      <c r="P617" s="176"/>
      <c r="Q617" s="176"/>
      <c r="R617" s="176"/>
      <c r="S617" s="13"/>
      <c r="T617" s="113" t="s">
        <v>75</v>
      </c>
      <c r="U617" s="113"/>
      <c r="V617" s="13"/>
      <c r="W617" s="13"/>
      <c r="X617" s="13"/>
      <c r="Y617" s="13"/>
      <c r="Z617" s="13"/>
      <c r="AA617" s="13"/>
      <c r="AB617" s="13"/>
      <c r="AC617" s="13"/>
      <c r="AD617" s="13"/>
      <c r="AE617" s="14"/>
      <c r="AF617" s="14"/>
    </row>
    <row r="618" spans="2:32" ht="13.5" hidden="1" customHeight="1">
      <c r="B618" s="13"/>
      <c r="C618" s="2"/>
      <c r="D618" s="13"/>
      <c r="E618" s="13"/>
      <c r="F618" s="13"/>
      <c r="G618" s="13"/>
      <c r="H618" s="13"/>
      <c r="I618" s="13"/>
      <c r="J618" s="113"/>
      <c r="K618" s="113"/>
      <c r="L618" s="113"/>
      <c r="M618" s="113"/>
      <c r="N618" s="113"/>
      <c r="O618" s="176"/>
      <c r="P618" s="176"/>
      <c r="Q618" s="176"/>
      <c r="R618" s="176"/>
      <c r="S618" s="13"/>
      <c r="T618" s="113"/>
      <c r="U618" s="113"/>
      <c r="V618" s="13"/>
      <c r="W618" s="13"/>
      <c r="X618" s="13"/>
      <c r="Y618" s="13"/>
      <c r="Z618" s="13"/>
      <c r="AA618" s="13"/>
      <c r="AB618" s="13"/>
      <c r="AC618" s="13"/>
      <c r="AD618" s="13"/>
      <c r="AE618" s="14"/>
      <c r="AF618" s="14"/>
    </row>
    <row r="619" spans="2:32" ht="13.5" hidden="1" customHeight="1">
      <c r="B619" s="13"/>
      <c r="C619" s="2"/>
      <c r="D619" s="13"/>
      <c r="E619" s="13"/>
      <c r="F619" s="13"/>
      <c r="G619" s="13"/>
      <c r="H619" s="13"/>
      <c r="I619" s="13"/>
      <c r="J619" s="29"/>
      <c r="K619" s="29"/>
      <c r="L619" s="6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4"/>
      <c r="AF619" s="14"/>
    </row>
    <row r="620" spans="2:32" ht="13.5" hidden="1" customHeight="1">
      <c r="B620" s="13"/>
      <c r="C620" s="2"/>
      <c r="D620" s="13"/>
      <c r="E620" s="13"/>
      <c r="F620" s="13"/>
      <c r="G620" s="13"/>
      <c r="H620" s="13"/>
      <c r="I620" s="13"/>
      <c r="J620" s="29"/>
      <c r="K620" s="29"/>
      <c r="L620" s="6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4"/>
      <c r="AF620" s="14"/>
    </row>
    <row r="621" spans="2:32" ht="13.5" hidden="1" customHeight="1">
      <c r="B621" s="13"/>
      <c r="C621" s="2"/>
      <c r="D621" s="13"/>
      <c r="E621" s="13"/>
      <c r="F621" s="13"/>
      <c r="G621" s="13"/>
      <c r="H621" s="13"/>
      <c r="I621" s="13"/>
      <c r="J621" s="29"/>
      <c r="K621" s="29"/>
      <c r="L621" s="6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4"/>
      <c r="AF621" s="14"/>
    </row>
    <row r="622" spans="2:32" ht="13.5" hidden="1" customHeight="1">
      <c r="B622" s="13"/>
      <c r="C622" s="2"/>
      <c r="D622" s="13"/>
      <c r="E622" s="13"/>
      <c r="F622" s="13"/>
      <c r="G622" s="13"/>
      <c r="H622" s="13"/>
      <c r="I622" s="13"/>
      <c r="J622" s="29"/>
      <c r="K622" s="29"/>
      <c r="L622" s="6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4"/>
      <c r="AF622" s="14"/>
    </row>
    <row r="623" spans="2:32" ht="13.5" hidden="1" customHeight="1">
      <c r="B623" s="13"/>
      <c r="C623" s="2"/>
      <c r="D623" s="13"/>
      <c r="E623" s="13"/>
      <c r="F623" s="13"/>
      <c r="G623" s="13"/>
      <c r="H623" s="13"/>
      <c r="I623" s="13"/>
      <c r="J623" s="29"/>
      <c r="K623" s="29"/>
      <c r="L623" s="6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4"/>
      <c r="AF623" s="14"/>
    </row>
    <row r="624" spans="2:32" ht="13.5" hidden="1" customHeight="1">
      <c r="B624" s="21"/>
      <c r="C624" s="34"/>
      <c r="D624" s="21"/>
      <c r="E624" s="21"/>
      <c r="F624" s="21"/>
      <c r="G624" s="21"/>
      <c r="H624" s="21"/>
      <c r="I624" s="21"/>
      <c r="J624" s="35"/>
      <c r="K624" s="35"/>
      <c r="L624" s="22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3"/>
      <c r="AF624" s="14"/>
    </row>
    <row r="625" spans="2:32" ht="13.5" hidden="1" customHeight="1">
      <c r="B625" s="13"/>
      <c r="C625" s="2"/>
      <c r="D625" s="13"/>
      <c r="E625" s="13"/>
      <c r="F625" s="13"/>
      <c r="G625" s="13"/>
      <c r="H625" s="13"/>
      <c r="I625" s="13"/>
      <c r="J625" s="29"/>
      <c r="K625" s="29"/>
      <c r="L625" s="6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4"/>
      <c r="AF625" s="14"/>
    </row>
    <row r="626" spans="2:32" ht="13.5" hidden="1" customHeight="1">
      <c r="B626" s="13"/>
      <c r="C626" s="2"/>
      <c r="D626" s="13"/>
      <c r="E626" s="13"/>
      <c r="F626" s="13"/>
      <c r="G626" s="13"/>
      <c r="H626" s="13"/>
      <c r="I626" s="13"/>
      <c r="J626" s="29"/>
      <c r="K626" s="29"/>
      <c r="L626" s="6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4"/>
      <c r="AF626" s="14"/>
    </row>
    <row r="627" spans="2:32" ht="13.5" hidden="1" customHeight="1">
      <c r="B627" s="13"/>
      <c r="C627" s="2"/>
      <c r="D627" s="13"/>
      <c r="E627" s="13"/>
      <c r="F627" s="13"/>
      <c r="G627" s="13"/>
      <c r="H627" s="13"/>
      <c r="I627" s="13"/>
      <c r="J627" s="29"/>
      <c r="K627" s="29"/>
      <c r="L627" s="6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4"/>
      <c r="AF627" s="14"/>
    </row>
    <row r="628" spans="2:32" s="11" customFormat="1" ht="13.5" hidden="1" customHeight="1">
      <c r="B628" s="9"/>
      <c r="C628" s="3"/>
      <c r="D628" s="9"/>
      <c r="E628" s="9"/>
      <c r="F628" s="9" t="s">
        <v>86</v>
      </c>
      <c r="G628" s="9" t="s">
        <v>65</v>
      </c>
      <c r="H628" s="9"/>
      <c r="I628" s="9"/>
      <c r="J628" s="28"/>
      <c r="K628" s="28"/>
      <c r="L628" s="7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10"/>
      <c r="AF628" s="10"/>
    </row>
    <row r="629" spans="2:32" s="11" customFormat="1" ht="13.5" hidden="1" customHeight="1">
      <c r="B629" s="9"/>
      <c r="C629" s="3"/>
      <c r="D629" s="9"/>
      <c r="E629" s="9"/>
      <c r="F629" s="9"/>
      <c r="G629" s="9" t="s">
        <v>51</v>
      </c>
      <c r="H629" s="9"/>
      <c r="I629" s="9"/>
      <c r="J629" s="28"/>
      <c r="K629" s="28"/>
      <c r="L629" s="7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10"/>
      <c r="AF629" s="10"/>
    </row>
    <row r="630" spans="2:32" ht="13.5" hidden="1" customHeight="1">
      <c r="B630" s="13"/>
      <c r="C630" s="2"/>
      <c r="D630" s="13"/>
      <c r="E630" s="13"/>
      <c r="F630" s="13"/>
      <c r="G630" s="13"/>
      <c r="H630" s="13"/>
      <c r="I630" s="13"/>
      <c r="J630" s="29"/>
      <c r="K630" s="29"/>
      <c r="L630" s="6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4"/>
      <c r="AF630" s="14"/>
    </row>
    <row r="631" spans="2:32" ht="13.5" hidden="1" customHeight="1">
      <c r="B631" s="13"/>
      <c r="C631" s="2"/>
      <c r="D631" s="13"/>
      <c r="E631" s="13"/>
      <c r="F631" s="13"/>
      <c r="G631" s="13"/>
      <c r="H631" s="13"/>
      <c r="I631" s="13"/>
      <c r="J631" s="113" t="s">
        <v>55</v>
      </c>
      <c r="K631" s="113"/>
      <c r="L631" s="113"/>
      <c r="M631" s="173" t="s">
        <v>1</v>
      </c>
      <c r="N631" s="113" t="s">
        <v>52</v>
      </c>
      <c r="O631" s="113"/>
      <c r="P631" s="113"/>
      <c r="Q631" s="173" t="s">
        <v>73</v>
      </c>
      <c r="R631" s="173"/>
      <c r="S631" s="113">
        <v>1.25</v>
      </c>
      <c r="T631" s="113"/>
      <c r="U631" s="113"/>
      <c r="V631" s="13"/>
      <c r="W631" s="13"/>
      <c r="X631" s="13"/>
      <c r="Y631" s="13"/>
      <c r="Z631" s="13"/>
      <c r="AA631" s="13"/>
      <c r="AB631" s="13"/>
      <c r="AC631" s="13"/>
      <c r="AD631" s="13"/>
      <c r="AE631" s="14"/>
      <c r="AF631" s="14"/>
    </row>
    <row r="632" spans="2:32" ht="13.5" hidden="1" customHeight="1">
      <c r="B632" s="13"/>
      <c r="C632" s="2"/>
      <c r="D632" s="13"/>
      <c r="E632" s="13"/>
      <c r="F632" s="13"/>
      <c r="G632" s="13"/>
      <c r="H632" s="13"/>
      <c r="I632" s="13"/>
      <c r="J632" s="113"/>
      <c r="K632" s="113"/>
      <c r="L632" s="113"/>
      <c r="M632" s="113"/>
      <c r="N632" s="113"/>
      <c r="O632" s="113"/>
      <c r="P632" s="113"/>
      <c r="Q632" s="173"/>
      <c r="R632" s="173"/>
      <c r="S632" s="113"/>
      <c r="T632" s="113"/>
      <c r="U632" s="113"/>
      <c r="V632" s="13"/>
      <c r="W632" s="13"/>
      <c r="X632" s="13"/>
      <c r="Y632" s="13"/>
      <c r="Z632" s="13"/>
      <c r="AA632" s="13"/>
      <c r="AB632" s="13"/>
      <c r="AC632" s="13"/>
      <c r="AD632" s="13"/>
      <c r="AE632" s="14"/>
      <c r="AF632" s="14"/>
    </row>
    <row r="633" spans="2:32" ht="13.5" hidden="1" customHeight="1">
      <c r="B633" s="13"/>
      <c r="C633" s="2"/>
      <c r="D633" s="13"/>
      <c r="E633" s="13"/>
      <c r="F633" s="13"/>
      <c r="G633" s="13"/>
      <c r="H633" s="13"/>
      <c r="I633" s="13"/>
      <c r="J633" s="29"/>
      <c r="K633" s="29"/>
      <c r="L633" s="6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4"/>
      <c r="AF633" s="14"/>
    </row>
    <row r="634" spans="2:32" ht="13.5" hidden="1" customHeight="1">
      <c r="B634" s="13"/>
      <c r="C634" s="2"/>
      <c r="D634" s="13"/>
      <c r="E634" s="13"/>
      <c r="F634" s="13"/>
      <c r="G634" s="13"/>
      <c r="H634" s="13"/>
      <c r="I634" s="13"/>
      <c r="J634" s="113" t="s">
        <v>55</v>
      </c>
      <c r="K634" s="113"/>
      <c r="L634" s="113"/>
      <c r="M634" s="173" t="s">
        <v>1</v>
      </c>
      <c r="N634" s="176" t="e">
        <f>O616+O617</f>
        <v>#REF!</v>
      </c>
      <c r="O634" s="176"/>
      <c r="P634" s="176"/>
      <c r="Q634" s="173" t="s">
        <v>73</v>
      </c>
      <c r="R634" s="173"/>
      <c r="S634" s="113">
        <v>1.25</v>
      </c>
      <c r="T634" s="113"/>
      <c r="U634" s="113"/>
      <c r="V634" s="13"/>
      <c r="W634" s="13"/>
      <c r="X634" s="13"/>
      <c r="Y634" s="13"/>
      <c r="Z634" s="13"/>
      <c r="AA634" s="13"/>
      <c r="AB634" s="13"/>
      <c r="AC634" s="13"/>
      <c r="AD634" s="13"/>
      <c r="AE634" s="14"/>
      <c r="AF634" s="14"/>
    </row>
    <row r="635" spans="2:32" ht="13.5" hidden="1" customHeight="1">
      <c r="B635" s="13"/>
      <c r="C635" s="2"/>
      <c r="D635" s="13"/>
      <c r="E635" s="13"/>
      <c r="F635" s="13"/>
      <c r="G635" s="13"/>
      <c r="H635" s="13"/>
      <c r="I635" s="13"/>
      <c r="J635" s="113"/>
      <c r="K635" s="113"/>
      <c r="L635" s="113"/>
      <c r="M635" s="113"/>
      <c r="N635" s="176"/>
      <c r="O635" s="176"/>
      <c r="P635" s="176"/>
      <c r="Q635" s="173"/>
      <c r="R635" s="173"/>
      <c r="S635" s="113"/>
      <c r="T635" s="113"/>
      <c r="U635" s="113"/>
      <c r="V635" s="13"/>
      <c r="W635" s="13"/>
      <c r="X635" s="13"/>
      <c r="Y635" s="13"/>
      <c r="Z635" s="13"/>
      <c r="AA635" s="13"/>
      <c r="AB635" s="13"/>
      <c r="AC635" s="13"/>
      <c r="AD635" s="13"/>
      <c r="AE635" s="14"/>
      <c r="AF635" s="14"/>
    </row>
    <row r="636" spans="2:32" ht="13.5" hidden="1" customHeight="1">
      <c r="B636" s="13"/>
      <c r="C636" s="2"/>
      <c r="D636" s="13"/>
      <c r="E636" s="13"/>
      <c r="F636" s="13"/>
      <c r="G636" s="13"/>
      <c r="H636" s="13"/>
      <c r="I636" s="13"/>
      <c r="J636" s="29"/>
      <c r="K636" s="29"/>
      <c r="L636" s="6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4"/>
      <c r="AF636" s="14"/>
    </row>
    <row r="637" spans="2:32" ht="13.5" hidden="1" customHeight="1">
      <c r="B637" s="13"/>
      <c r="C637" s="2"/>
      <c r="D637" s="13"/>
      <c r="E637" s="13"/>
      <c r="F637" s="13"/>
      <c r="G637" s="13"/>
      <c r="H637" s="13"/>
      <c r="I637" s="13"/>
      <c r="J637" s="113" t="s">
        <v>55</v>
      </c>
      <c r="K637" s="113"/>
      <c r="L637" s="113"/>
      <c r="M637" s="173" t="s">
        <v>1</v>
      </c>
      <c r="N637" s="13"/>
      <c r="O637" s="176" t="e">
        <f>N634*S634</f>
        <v>#REF!</v>
      </c>
      <c r="P637" s="176"/>
      <c r="Q637" s="176"/>
      <c r="R637" s="176"/>
      <c r="S637" s="13"/>
      <c r="T637" s="113" t="s">
        <v>75</v>
      </c>
      <c r="U637" s="113"/>
      <c r="V637" s="13"/>
      <c r="W637" s="13"/>
      <c r="X637" s="13"/>
      <c r="Y637" s="13"/>
      <c r="Z637" s="13"/>
      <c r="AA637" s="13"/>
      <c r="AB637" s="13"/>
      <c r="AC637" s="13"/>
      <c r="AD637" s="13"/>
      <c r="AE637" s="14"/>
      <c r="AF637" s="14"/>
    </row>
    <row r="638" spans="2:32" ht="13.5" hidden="1" customHeight="1">
      <c r="B638" s="13"/>
      <c r="C638" s="2"/>
      <c r="D638" s="13"/>
      <c r="E638" s="13"/>
      <c r="F638" s="9"/>
      <c r="G638" s="13"/>
      <c r="H638" s="13"/>
      <c r="I638" s="13"/>
      <c r="J638" s="113"/>
      <c r="K638" s="113"/>
      <c r="L638" s="113"/>
      <c r="M638" s="113"/>
      <c r="N638" s="13"/>
      <c r="O638" s="176"/>
      <c r="P638" s="176"/>
      <c r="Q638" s="176"/>
      <c r="R638" s="176"/>
      <c r="S638" s="13"/>
      <c r="T638" s="113"/>
      <c r="U638" s="113"/>
      <c r="V638" s="13"/>
      <c r="W638" s="13"/>
      <c r="X638" s="13"/>
      <c r="Y638" s="13"/>
      <c r="Z638" s="13"/>
      <c r="AA638" s="13"/>
      <c r="AB638" s="13"/>
      <c r="AC638" s="13"/>
      <c r="AD638" s="13"/>
      <c r="AE638" s="14"/>
      <c r="AF638" s="14"/>
    </row>
    <row r="639" spans="2:32" ht="13.5" hidden="1" customHeight="1">
      <c r="B639" s="13"/>
      <c r="C639" s="2"/>
      <c r="D639" s="13"/>
      <c r="E639" s="13"/>
      <c r="F639" s="13"/>
      <c r="G639" s="13"/>
      <c r="H639" s="13"/>
      <c r="I639" s="13"/>
      <c r="J639" s="29"/>
      <c r="K639" s="29"/>
      <c r="L639" s="6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4"/>
      <c r="AF639" s="14"/>
    </row>
    <row r="640" spans="2:32" ht="13.5" hidden="1" customHeight="1">
      <c r="B640" s="13"/>
      <c r="C640" s="2"/>
      <c r="D640" s="13"/>
      <c r="E640" s="13"/>
      <c r="F640" s="13"/>
      <c r="G640" s="13"/>
      <c r="H640" s="13"/>
      <c r="I640" s="13"/>
      <c r="J640" s="29"/>
      <c r="K640" s="29"/>
      <c r="L640" s="6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4"/>
      <c r="AF640" s="14"/>
    </row>
    <row r="641" spans="2:32" ht="13.5" hidden="1" customHeight="1">
      <c r="B641" s="13"/>
      <c r="C641" s="2"/>
      <c r="D641" s="13"/>
      <c r="E641" s="13"/>
      <c r="F641" s="13"/>
      <c r="G641" s="13"/>
      <c r="H641" s="13"/>
      <c r="I641" s="13"/>
      <c r="J641" s="29"/>
      <c r="K641" s="29"/>
      <c r="L641" s="6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4"/>
      <c r="AF641" s="14"/>
    </row>
    <row r="642" spans="2:32" s="11" customFormat="1" ht="13.5" hidden="1" customHeight="1">
      <c r="B642" s="9"/>
      <c r="C642" s="3"/>
      <c r="D642" s="9"/>
      <c r="E642" s="9" t="s">
        <v>56</v>
      </c>
      <c r="F642" s="9"/>
      <c r="G642" s="9"/>
      <c r="H642" s="9"/>
      <c r="I642" s="9"/>
      <c r="J642" s="28"/>
      <c r="K642" s="28"/>
      <c r="L642" s="7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10"/>
      <c r="AF642" s="10"/>
    </row>
    <row r="643" spans="2:32" ht="13.5" hidden="1" customHeight="1">
      <c r="B643" s="13"/>
      <c r="C643" s="2"/>
      <c r="D643" s="13"/>
      <c r="E643" s="13"/>
      <c r="F643" s="13"/>
      <c r="G643" s="13"/>
      <c r="H643" s="13"/>
      <c r="I643" s="13"/>
      <c r="J643" s="29"/>
      <c r="K643" s="29"/>
      <c r="L643" s="6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4"/>
      <c r="AF643" s="14"/>
    </row>
    <row r="644" spans="2:32" ht="13.5" hidden="1" customHeight="1">
      <c r="B644" s="13"/>
      <c r="C644" s="2"/>
      <c r="D644" s="13"/>
      <c r="E644" s="13"/>
      <c r="F644" s="13"/>
      <c r="G644" s="13"/>
      <c r="H644" s="13"/>
      <c r="I644" s="13"/>
      <c r="J644" s="29"/>
      <c r="K644" s="29"/>
      <c r="L644" s="6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4"/>
      <c r="AF644" s="14"/>
    </row>
    <row r="645" spans="2:32" ht="13.5" hidden="1" customHeight="1">
      <c r="B645" s="13"/>
      <c r="C645" s="2"/>
      <c r="D645" s="13"/>
      <c r="E645" s="13"/>
      <c r="F645" s="13"/>
      <c r="G645" s="13"/>
      <c r="H645" s="13"/>
      <c r="I645" s="13"/>
      <c r="J645" s="29"/>
      <c r="K645" s="29"/>
      <c r="L645" s="6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4"/>
      <c r="AF645" s="14"/>
    </row>
    <row r="646" spans="2:32" ht="13.5" hidden="1" customHeight="1">
      <c r="B646" s="13"/>
      <c r="C646" s="2"/>
      <c r="D646" s="13"/>
      <c r="E646" s="13"/>
      <c r="F646" s="13"/>
      <c r="G646" s="13"/>
      <c r="H646" s="13"/>
      <c r="I646" s="13"/>
      <c r="J646" s="29"/>
      <c r="K646" s="29"/>
      <c r="L646" s="6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4"/>
      <c r="AF646" s="14"/>
    </row>
    <row r="647" spans="2:32" ht="13.5" hidden="1" customHeight="1">
      <c r="B647" s="13"/>
      <c r="C647" s="2"/>
      <c r="D647" s="13"/>
      <c r="E647" s="13"/>
      <c r="F647" s="13"/>
      <c r="G647" s="13"/>
      <c r="H647" s="13"/>
      <c r="I647" s="13"/>
      <c r="J647" s="29"/>
      <c r="K647" s="29"/>
      <c r="L647" s="6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4"/>
      <c r="AF647" s="14"/>
    </row>
    <row r="648" spans="2:32" ht="13.5" hidden="1" customHeight="1">
      <c r="B648" s="13"/>
      <c r="C648" s="2"/>
      <c r="D648" s="13"/>
      <c r="E648" s="13"/>
      <c r="F648" s="13"/>
      <c r="G648" s="13"/>
      <c r="H648" s="13"/>
      <c r="I648" s="13"/>
      <c r="J648" s="29"/>
      <c r="K648" s="29"/>
      <c r="L648" s="6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4"/>
      <c r="AF648" s="14"/>
    </row>
    <row r="649" spans="2:32" ht="13.5" hidden="1" customHeight="1">
      <c r="B649" s="13"/>
      <c r="C649" s="2"/>
      <c r="D649" s="13"/>
      <c r="E649" s="13"/>
      <c r="F649" s="13"/>
      <c r="G649" s="13"/>
      <c r="H649" s="13"/>
      <c r="I649" s="13"/>
      <c r="J649" s="29"/>
      <c r="K649" s="29"/>
      <c r="L649" s="6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4"/>
      <c r="AF649" s="14"/>
    </row>
    <row r="650" spans="2:32" ht="13.5" hidden="1" customHeight="1">
      <c r="B650" s="13"/>
      <c r="C650" s="2"/>
      <c r="D650" s="13"/>
      <c r="E650" s="13"/>
      <c r="F650" s="13"/>
      <c r="G650" s="13"/>
      <c r="H650" s="13"/>
      <c r="I650" s="13"/>
      <c r="J650" s="29"/>
      <c r="K650" s="29"/>
      <c r="L650" s="6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4"/>
      <c r="AF650" s="14"/>
    </row>
    <row r="651" spans="2:32" ht="13.5" hidden="1" customHeight="1">
      <c r="B651" s="13"/>
      <c r="C651" s="2"/>
      <c r="D651" s="13"/>
      <c r="E651" s="13"/>
      <c r="F651" s="13"/>
      <c r="G651" s="13"/>
      <c r="H651" s="13"/>
      <c r="I651" s="13"/>
      <c r="J651" s="29"/>
      <c r="K651" s="29"/>
      <c r="L651" s="6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4"/>
      <c r="AF651" s="14"/>
    </row>
    <row r="652" spans="2:32" ht="13.5" hidden="1" customHeight="1">
      <c r="B652" s="13"/>
      <c r="C652" s="2"/>
      <c r="D652" s="13"/>
      <c r="E652" s="13"/>
      <c r="F652" s="13"/>
      <c r="G652" s="13"/>
      <c r="H652" s="13"/>
      <c r="I652" s="13"/>
      <c r="J652" s="29"/>
      <c r="K652" s="29"/>
      <c r="L652" s="6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4"/>
      <c r="AF652" s="14"/>
    </row>
    <row r="653" spans="2:32" ht="13.5" hidden="1" customHeight="1">
      <c r="B653" s="13"/>
      <c r="C653" s="2"/>
      <c r="D653" s="13"/>
      <c r="E653" s="13"/>
      <c r="F653" s="13"/>
      <c r="G653" s="13"/>
      <c r="H653" s="13"/>
      <c r="I653" s="13"/>
      <c r="J653" s="29"/>
      <c r="K653" s="29"/>
      <c r="L653" s="6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4"/>
      <c r="AF653" s="14"/>
    </row>
    <row r="654" spans="2:32" ht="13.5" hidden="1" customHeight="1">
      <c r="B654" s="13"/>
      <c r="C654" s="2"/>
      <c r="D654" s="13"/>
      <c r="E654" s="13"/>
      <c r="F654" s="13"/>
      <c r="G654" s="13"/>
      <c r="H654" s="13"/>
      <c r="I654" s="13"/>
      <c r="J654" s="29"/>
      <c r="K654" s="29"/>
      <c r="L654" s="6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4"/>
      <c r="AF654" s="14"/>
    </row>
    <row r="655" spans="2:32" ht="13.5" hidden="1" customHeight="1">
      <c r="B655" s="13"/>
      <c r="C655" s="2"/>
      <c r="D655" s="13"/>
      <c r="E655" s="13"/>
      <c r="F655" s="13"/>
      <c r="G655" s="13"/>
      <c r="H655" s="13"/>
      <c r="I655" s="13"/>
      <c r="J655" s="29"/>
      <c r="K655" s="29"/>
      <c r="L655" s="6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4"/>
      <c r="AF655" s="14"/>
    </row>
    <row r="656" spans="2:32" ht="13.5" hidden="1" customHeight="1">
      <c r="B656" s="13"/>
      <c r="C656" s="2"/>
      <c r="D656" s="13"/>
      <c r="E656" s="13"/>
      <c r="F656" s="13"/>
      <c r="G656" s="13"/>
      <c r="H656" s="13"/>
      <c r="I656" s="13"/>
      <c r="J656" s="29"/>
      <c r="K656" s="29"/>
      <c r="L656" s="6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4"/>
      <c r="AF656" s="14"/>
    </row>
    <row r="657" spans="2:32" ht="13.5" hidden="1" customHeight="1">
      <c r="B657" s="13"/>
      <c r="C657" s="2"/>
      <c r="D657" s="13"/>
      <c r="E657" s="13"/>
      <c r="F657" s="13"/>
      <c r="G657" s="13"/>
      <c r="H657" s="13"/>
      <c r="I657" s="13"/>
      <c r="J657" s="29"/>
      <c r="K657" s="29"/>
      <c r="L657" s="6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4"/>
      <c r="AF657" s="14"/>
    </row>
    <row r="658" spans="2:32" ht="13.5" hidden="1" customHeight="1">
      <c r="B658" s="13"/>
      <c r="C658" s="2"/>
      <c r="D658" s="13"/>
      <c r="E658" s="13"/>
      <c r="F658" s="13"/>
      <c r="G658" s="13"/>
      <c r="H658" s="13"/>
      <c r="I658" s="13"/>
      <c r="J658" s="29"/>
      <c r="K658" s="29"/>
      <c r="L658" s="6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4"/>
      <c r="AF658" s="14"/>
    </row>
    <row r="659" spans="2:32" ht="13.5" hidden="1" customHeight="1">
      <c r="B659" s="13"/>
      <c r="C659" s="2"/>
      <c r="D659" s="13"/>
      <c r="E659" s="13"/>
      <c r="F659" s="13"/>
      <c r="G659" s="13"/>
      <c r="H659" s="13"/>
      <c r="I659" s="13"/>
      <c r="J659" s="29"/>
      <c r="K659" s="29"/>
      <c r="L659" s="6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4"/>
      <c r="AF659" s="14"/>
    </row>
    <row r="660" spans="2:32" ht="13.5" hidden="1" customHeight="1">
      <c r="B660" s="13"/>
      <c r="C660" s="2"/>
      <c r="D660" s="13"/>
      <c r="E660" s="13"/>
      <c r="F660" s="13"/>
      <c r="G660" s="13"/>
      <c r="H660" s="13"/>
      <c r="I660" s="13"/>
      <c r="J660" s="29"/>
      <c r="K660" s="29"/>
      <c r="L660" s="6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4"/>
      <c r="AF660" s="14"/>
    </row>
    <row r="661" spans="2:32" ht="13.5" hidden="1" customHeight="1">
      <c r="B661" s="13"/>
      <c r="C661" s="2"/>
      <c r="D661" s="13"/>
      <c r="E661" s="13"/>
      <c r="F661" s="13"/>
      <c r="G661" s="13"/>
      <c r="H661" s="13"/>
      <c r="I661" s="13"/>
      <c r="J661" s="29"/>
      <c r="K661" s="29"/>
      <c r="L661" s="6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4"/>
      <c r="AF661" s="14"/>
    </row>
    <row r="662" spans="2:32" ht="13.5" hidden="1" customHeight="1">
      <c r="B662" s="13"/>
      <c r="C662" s="2"/>
      <c r="D662" s="13"/>
      <c r="E662" s="13"/>
      <c r="F662" s="13"/>
      <c r="G662" s="13"/>
      <c r="H662" s="13"/>
      <c r="I662" s="13"/>
      <c r="J662" s="29"/>
      <c r="K662" s="29"/>
      <c r="L662" s="6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4"/>
      <c r="AF662" s="14"/>
    </row>
    <row r="663" spans="2:32" ht="13.5" hidden="1" customHeight="1">
      <c r="B663" s="13"/>
      <c r="C663" s="2"/>
      <c r="D663" s="13"/>
      <c r="E663" s="13"/>
      <c r="F663" s="13"/>
      <c r="G663" s="13"/>
      <c r="H663" s="13"/>
      <c r="I663" s="13"/>
      <c r="J663" s="29"/>
      <c r="K663" s="29"/>
      <c r="L663" s="6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4"/>
      <c r="AF663" s="14"/>
    </row>
    <row r="664" spans="2:32" ht="13.5" hidden="1" customHeight="1">
      <c r="B664" s="13"/>
      <c r="C664" s="2"/>
      <c r="D664" s="13"/>
      <c r="E664" s="13"/>
      <c r="F664" s="13"/>
      <c r="G664" s="13"/>
      <c r="H664" s="13"/>
      <c r="I664" s="13"/>
      <c r="J664" s="29"/>
      <c r="K664" s="29"/>
      <c r="L664" s="6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4"/>
      <c r="AF664" s="14"/>
    </row>
    <row r="665" spans="2:32" ht="13.5" hidden="1" customHeight="1">
      <c r="B665" s="13"/>
      <c r="C665" s="2"/>
      <c r="D665" s="13"/>
      <c r="E665" s="13"/>
      <c r="F665" s="13"/>
      <c r="G665" s="13"/>
      <c r="H665" s="13"/>
      <c r="I665" s="13"/>
      <c r="J665" s="29"/>
      <c r="K665" s="29"/>
      <c r="L665" s="6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4"/>
      <c r="AF665" s="14"/>
    </row>
    <row r="666" spans="2:32" ht="13.5" hidden="1" customHeight="1">
      <c r="B666" s="13"/>
      <c r="C666" s="2"/>
      <c r="D666" s="13"/>
      <c r="E666" s="13"/>
      <c r="F666" s="13"/>
      <c r="G666" s="13"/>
      <c r="H666" s="13"/>
      <c r="I666" s="13"/>
      <c r="J666" s="29"/>
      <c r="K666" s="29"/>
      <c r="L666" s="6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4"/>
      <c r="AF666" s="14"/>
    </row>
    <row r="667" spans="2:32" ht="13.5" hidden="1" customHeight="1">
      <c r="B667" s="13"/>
      <c r="C667" s="2"/>
      <c r="D667" s="13"/>
      <c r="E667" s="13"/>
      <c r="F667" s="13"/>
      <c r="G667" s="13"/>
      <c r="H667" s="13"/>
      <c r="I667" s="13"/>
      <c r="J667" s="29"/>
      <c r="K667" s="29"/>
      <c r="L667" s="6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4"/>
      <c r="AF667" s="14"/>
    </row>
    <row r="668" spans="2:32" ht="13.5" hidden="1" customHeight="1">
      <c r="B668" s="13"/>
      <c r="C668" s="2"/>
      <c r="D668" s="13"/>
      <c r="E668" s="13"/>
      <c r="F668" s="13"/>
      <c r="G668" s="13"/>
      <c r="H668" s="13"/>
      <c r="I668" s="13"/>
      <c r="J668" s="29"/>
      <c r="K668" s="29"/>
      <c r="L668" s="6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4"/>
      <c r="AF668" s="14"/>
    </row>
    <row r="669" spans="2:32" ht="13.5" hidden="1" customHeight="1">
      <c r="B669" s="13"/>
      <c r="C669" s="2"/>
      <c r="D669" s="13"/>
      <c r="E669" s="13"/>
      <c r="F669" s="13"/>
      <c r="G669" s="13"/>
      <c r="H669" s="13"/>
      <c r="I669" s="13"/>
      <c r="J669" s="29"/>
      <c r="K669" s="29"/>
      <c r="L669" s="6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4"/>
      <c r="AF669" s="14"/>
    </row>
    <row r="670" spans="2:32" ht="13.5" hidden="1" customHeight="1">
      <c r="B670" s="13"/>
      <c r="C670" s="2"/>
      <c r="D670" s="13"/>
      <c r="E670" s="13"/>
      <c r="F670" s="13"/>
      <c r="G670" s="13"/>
      <c r="H670" s="13"/>
      <c r="I670" s="13"/>
      <c r="J670" s="29"/>
      <c r="K670" s="29"/>
      <c r="L670" s="6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4"/>
      <c r="AF670" s="14"/>
    </row>
    <row r="671" spans="2:32" ht="13.5" hidden="1" customHeight="1">
      <c r="B671" s="13"/>
      <c r="C671" s="2"/>
      <c r="D671" s="13"/>
      <c r="E671" s="13"/>
      <c r="F671" s="13"/>
      <c r="G671" s="13"/>
      <c r="H671" s="13"/>
      <c r="I671" s="13"/>
      <c r="J671" s="29"/>
      <c r="K671" s="29"/>
      <c r="L671" s="6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4"/>
      <c r="AF671" s="14"/>
    </row>
    <row r="672" spans="2:32" ht="13.5" hidden="1" customHeight="1">
      <c r="B672" s="21"/>
      <c r="C672" s="34"/>
      <c r="D672" s="21"/>
      <c r="E672" s="21"/>
      <c r="F672" s="21"/>
      <c r="G672" s="21"/>
      <c r="H672" s="21"/>
      <c r="I672" s="21"/>
      <c r="J672" s="35"/>
      <c r="K672" s="35"/>
      <c r="L672" s="22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3"/>
      <c r="AF672" s="14"/>
    </row>
    <row r="673" spans="2:32" ht="13.5" hidden="1" customHeight="1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4"/>
      <c r="AF673" s="14"/>
    </row>
    <row r="674" spans="2:32" s="11" customFormat="1" ht="13.5" hidden="1" customHeight="1">
      <c r="B674" s="9"/>
      <c r="C674" s="3"/>
      <c r="D674" s="9"/>
      <c r="E674" s="9" t="s">
        <v>87</v>
      </c>
      <c r="F674" s="9"/>
      <c r="G674" s="9"/>
      <c r="H674" s="9"/>
      <c r="I674" s="9"/>
      <c r="J674" s="28"/>
      <c r="K674" s="28"/>
      <c r="L674" s="28"/>
      <c r="M674" s="9"/>
      <c r="N674" s="16"/>
      <c r="O674" s="16"/>
      <c r="P674" s="16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10"/>
      <c r="AF674" s="10"/>
    </row>
    <row r="675" spans="2:32" ht="13.5" hidden="1" customHeight="1">
      <c r="B675" s="13"/>
      <c r="C675" s="2"/>
      <c r="D675" s="13"/>
      <c r="E675" s="13"/>
      <c r="F675" s="13"/>
      <c r="G675" s="13"/>
      <c r="H675" s="13"/>
      <c r="I675" s="13"/>
      <c r="J675" s="29"/>
      <c r="K675" s="29"/>
      <c r="L675" s="29"/>
      <c r="M675" s="13"/>
      <c r="N675" s="17"/>
      <c r="O675" s="17"/>
      <c r="P675" s="17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4"/>
      <c r="AF675" s="14"/>
    </row>
    <row r="676" spans="2:32" ht="13.5" hidden="1" customHeight="1">
      <c r="B676" s="13"/>
      <c r="C676" s="2"/>
      <c r="D676" s="13"/>
      <c r="E676" s="13"/>
      <c r="F676" s="13"/>
      <c r="G676" s="13"/>
      <c r="H676" s="13"/>
      <c r="I676" s="13" t="s">
        <v>64</v>
      </c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4"/>
      <c r="AF676" s="14"/>
    </row>
    <row r="677" spans="2:32" ht="13.5" hidden="1" customHeight="1">
      <c r="B677" s="13"/>
      <c r="C677" s="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4"/>
      <c r="AF677" s="14"/>
    </row>
    <row r="678" spans="2:32" ht="13.5" hidden="1" customHeight="1">
      <c r="B678" s="13"/>
      <c r="C678" s="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4"/>
      <c r="AF678" s="14"/>
    </row>
    <row r="679" spans="2:32" ht="13.5" hidden="1" customHeight="1">
      <c r="B679" s="13"/>
      <c r="C679" s="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4"/>
      <c r="AF679" s="14"/>
    </row>
    <row r="680" spans="2:32" ht="13.5" hidden="1" customHeight="1">
      <c r="B680" s="13"/>
      <c r="C680" s="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4"/>
      <c r="AF680" s="14"/>
    </row>
    <row r="681" spans="2:32" ht="13.5" hidden="1" customHeight="1">
      <c r="B681" s="13"/>
      <c r="C681" s="2"/>
      <c r="D681" s="13"/>
      <c r="E681" s="13"/>
      <c r="F681" s="13"/>
      <c r="G681" s="13"/>
      <c r="H681" s="13"/>
      <c r="I681" s="13"/>
      <c r="J681" s="13"/>
      <c r="K681" s="13"/>
      <c r="L681" s="13"/>
      <c r="M681" s="13" t="s">
        <v>88</v>
      </c>
      <c r="N681" s="30" t="s">
        <v>1</v>
      </c>
      <c r="O681" s="177" t="e">
        <f>#REF!</f>
        <v>#REF!</v>
      </c>
      <c r="P681" s="177"/>
      <c r="Q681" s="177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4"/>
      <c r="AF681" s="14"/>
    </row>
    <row r="682" spans="2:32" ht="13.5" hidden="1" customHeight="1">
      <c r="B682" s="13"/>
      <c r="C682" s="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30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4"/>
      <c r="AF682" s="14"/>
    </row>
    <row r="683" spans="2:32" ht="13.5" hidden="1" customHeight="1">
      <c r="B683" s="13"/>
      <c r="C683" s="2"/>
      <c r="D683" s="13"/>
      <c r="E683" s="13"/>
      <c r="F683" s="13"/>
      <c r="G683" s="13"/>
      <c r="H683" s="13"/>
      <c r="I683" s="13"/>
      <c r="J683" s="13"/>
      <c r="K683" s="13"/>
      <c r="L683" s="13"/>
      <c r="M683" s="13" t="s">
        <v>89</v>
      </c>
      <c r="N683" s="30" t="s">
        <v>1</v>
      </c>
      <c r="O683" s="13" t="s">
        <v>90</v>
      </c>
      <c r="P683" s="13"/>
      <c r="Q683" s="13"/>
      <c r="R683" s="13"/>
      <c r="S683" s="13"/>
      <c r="T683" s="13"/>
      <c r="U683" s="13"/>
      <c r="V683" s="177" t="e">
        <f>#REF!</f>
        <v>#REF!</v>
      </c>
      <c r="W683" s="177"/>
      <c r="X683" s="13"/>
      <c r="Y683" s="13"/>
      <c r="Z683" s="13"/>
      <c r="AA683" s="13"/>
      <c r="AB683" s="13"/>
      <c r="AC683" s="13"/>
      <c r="AD683" s="13"/>
      <c r="AE683" s="14"/>
      <c r="AF683" s="14"/>
    </row>
    <row r="684" spans="2:32" ht="13.5" hidden="1" customHeight="1">
      <c r="B684" s="13"/>
      <c r="C684" s="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4"/>
      <c r="AF684" s="14"/>
    </row>
    <row r="685" spans="2:32" ht="13.5" hidden="1" customHeight="1">
      <c r="B685" s="13"/>
      <c r="C685" s="2"/>
      <c r="D685" s="13"/>
      <c r="E685" s="13"/>
      <c r="F685" s="13"/>
      <c r="G685" s="13"/>
      <c r="H685" s="13"/>
      <c r="I685" s="13"/>
      <c r="J685" s="13"/>
      <c r="K685" s="13"/>
      <c r="L685" s="13"/>
      <c r="M685" s="13" t="s">
        <v>94</v>
      </c>
      <c r="N685" s="30" t="s">
        <v>1</v>
      </c>
      <c r="O685" s="177" t="e">
        <f>#REF!</f>
        <v>#REF!</v>
      </c>
      <c r="P685" s="177"/>
      <c r="Q685" s="177"/>
      <c r="R685" s="13"/>
      <c r="S685" s="13"/>
      <c r="T685" s="13"/>
      <c r="U685" s="13"/>
      <c r="V685" s="125"/>
      <c r="W685" s="125"/>
      <c r="X685" s="13"/>
      <c r="Y685" s="13"/>
      <c r="Z685" s="13"/>
      <c r="AA685" s="13"/>
      <c r="AB685" s="13"/>
      <c r="AC685" s="13"/>
      <c r="AD685" s="13"/>
      <c r="AE685" s="14"/>
      <c r="AF685" s="14"/>
    </row>
    <row r="686" spans="2:32" ht="13.5" hidden="1" customHeight="1">
      <c r="B686" s="13"/>
      <c r="C686" s="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4"/>
      <c r="AF686" s="14"/>
    </row>
    <row r="687" spans="2:32" ht="13.5" hidden="1" customHeight="1">
      <c r="B687" s="13"/>
      <c r="C687" s="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4"/>
      <c r="AF687" s="14"/>
    </row>
    <row r="688" spans="2:32" ht="13.5" hidden="1" customHeight="1">
      <c r="B688" s="13"/>
      <c r="C688" s="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30"/>
      <c r="O688" s="125"/>
      <c r="P688" s="125"/>
      <c r="Q688" s="12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4"/>
      <c r="AF688" s="14"/>
    </row>
    <row r="689" spans="2:32" ht="13.5" hidden="1" customHeight="1">
      <c r="B689" s="13"/>
      <c r="C689" s="2"/>
      <c r="D689" s="13"/>
      <c r="E689" s="13"/>
      <c r="F689" s="13"/>
      <c r="G689" s="13"/>
      <c r="H689" s="13"/>
      <c r="I689" s="13"/>
      <c r="J689" s="13"/>
      <c r="K689" s="13"/>
      <c r="L689" s="13"/>
      <c r="M689" s="13" t="s">
        <v>66</v>
      </c>
      <c r="N689" s="30" t="s">
        <v>1</v>
      </c>
      <c r="O689" s="177" t="e">
        <f>#REF!</f>
        <v>#REF!</v>
      </c>
      <c r="P689" s="177"/>
      <c r="Q689" s="177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4"/>
      <c r="AF689" s="14"/>
    </row>
    <row r="690" spans="2:32" ht="13.5" hidden="1" customHeight="1">
      <c r="B690" s="13"/>
      <c r="C690" s="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4"/>
      <c r="AF690" s="14"/>
    </row>
    <row r="691" spans="2:32" ht="13.5" hidden="1" customHeight="1">
      <c r="B691" s="13"/>
      <c r="C691" s="2"/>
      <c r="D691" s="13"/>
      <c r="E691" s="13"/>
      <c r="F691" s="13"/>
      <c r="G691" s="13"/>
      <c r="H691" s="13"/>
      <c r="I691" s="13"/>
      <c r="J691" s="13"/>
      <c r="K691" s="13"/>
      <c r="L691" s="13"/>
      <c r="M691" s="13" t="s">
        <v>9</v>
      </c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4"/>
      <c r="AF691" s="14"/>
    </row>
    <row r="692" spans="2:32" ht="13.5" hidden="1" customHeight="1">
      <c r="B692" s="13"/>
      <c r="C692" s="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4"/>
      <c r="AF692" s="14"/>
    </row>
    <row r="693" spans="2:32" ht="13.5" hidden="1" customHeight="1">
      <c r="B693" s="13"/>
      <c r="C693" s="2"/>
      <c r="D693" s="13"/>
      <c r="E693" s="13"/>
      <c r="F693" s="13"/>
      <c r="G693" s="13"/>
      <c r="H693" s="13"/>
      <c r="I693" s="13"/>
      <c r="J693" s="13"/>
      <c r="K693" s="13"/>
      <c r="L693" s="13"/>
      <c r="M693" s="13" t="s">
        <v>10</v>
      </c>
      <c r="N693" s="13"/>
      <c r="O693" s="13" t="s">
        <v>11</v>
      </c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4"/>
      <c r="AF693" s="14"/>
    </row>
    <row r="694" spans="2:32" ht="13.5" hidden="1" customHeight="1">
      <c r="B694" s="13"/>
      <c r="C694" s="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4"/>
      <c r="AF694" s="14"/>
    </row>
    <row r="695" spans="2:32" ht="13.5" hidden="1" customHeight="1">
      <c r="B695" s="13"/>
      <c r="C695" s="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4"/>
      <c r="AF695" s="14"/>
    </row>
    <row r="696" spans="2:32" ht="13.5" hidden="1" customHeight="1">
      <c r="B696" s="13"/>
      <c r="C696" s="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4"/>
      <c r="AF696" s="14"/>
    </row>
    <row r="697" spans="2:32" s="11" customFormat="1" ht="13.5" hidden="1" customHeight="1">
      <c r="B697" s="9"/>
      <c r="C697" s="9"/>
      <c r="D697" s="9" t="s">
        <v>12</v>
      </c>
      <c r="E697" s="9"/>
      <c r="F697" s="9"/>
      <c r="G697" s="9"/>
      <c r="H697" s="9"/>
      <c r="I697" s="9"/>
      <c r="J697" s="28"/>
      <c r="K697" s="28"/>
      <c r="L697" s="28"/>
      <c r="M697" s="9"/>
      <c r="N697" s="16"/>
      <c r="O697" s="16"/>
      <c r="P697" s="16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0"/>
      <c r="AF697" s="10"/>
    </row>
    <row r="698" spans="2:32" s="11" customFormat="1" ht="13.5" hidden="1" customHeight="1">
      <c r="B698" s="9"/>
      <c r="C698" s="3"/>
      <c r="D698" s="9" t="s">
        <v>76</v>
      </c>
      <c r="E698" s="9"/>
      <c r="F698" s="9"/>
      <c r="G698" s="9"/>
      <c r="H698" s="185">
        <v>2</v>
      </c>
      <c r="I698" s="185"/>
      <c r="J698" s="9" t="s">
        <v>141</v>
      </c>
      <c r="K698" s="28"/>
      <c r="L698" s="28"/>
      <c r="M698" s="9"/>
      <c r="N698" s="16"/>
      <c r="O698" s="16"/>
      <c r="P698" s="16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0"/>
      <c r="AF698" s="10"/>
    </row>
    <row r="699" spans="2:32" s="11" customFormat="1" ht="13.5" hidden="1" customHeight="1">
      <c r="B699" s="9"/>
      <c r="C699" s="3"/>
      <c r="D699" s="9" t="s">
        <v>158</v>
      </c>
      <c r="E699" s="9"/>
      <c r="F699" s="9"/>
      <c r="G699" s="9"/>
      <c r="H699" s="9"/>
      <c r="I699" s="9"/>
      <c r="J699" s="28"/>
      <c r="K699" s="32" t="s">
        <v>1</v>
      </c>
      <c r="L699" s="204">
        <v>9</v>
      </c>
      <c r="M699" s="204"/>
      <c r="N699" s="204"/>
      <c r="O699" s="33" t="s">
        <v>77</v>
      </c>
      <c r="P699" s="16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10"/>
      <c r="AF699" s="10"/>
    </row>
    <row r="700" spans="2:32" ht="13.5" hidden="1" customHeight="1">
      <c r="B700" s="13"/>
      <c r="C700" s="2"/>
      <c r="D700" s="13"/>
      <c r="E700" s="13"/>
      <c r="F700" s="13"/>
      <c r="G700" s="13"/>
      <c r="H700" s="13"/>
      <c r="I700" s="13"/>
      <c r="J700" s="29"/>
      <c r="K700" s="29"/>
      <c r="L700" s="29"/>
      <c r="M700" s="13"/>
      <c r="N700" s="17"/>
      <c r="O700" s="17"/>
      <c r="P700" s="17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4"/>
      <c r="AF700" s="14"/>
    </row>
    <row r="701" spans="2:32" ht="13.5" hidden="1" customHeight="1">
      <c r="B701" s="13"/>
      <c r="C701" s="2"/>
      <c r="D701" s="13"/>
      <c r="E701" s="13"/>
      <c r="F701" s="13"/>
      <c r="G701" s="13"/>
      <c r="H701" s="13"/>
      <c r="I701" s="13"/>
      <c r="J701" s="29"/>
      <c r="K701" s="29"/>
      <c r="L701" s="6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4"/>
      <c r="AF701" s="14"/>
    </row>
    <row r="702" spans="2:32" ht="13.5" hidden="1" customHeight="1">
      <c r="B702" s="13"/>
      <c r="C702" s="2"/>
      <c r="D702" s="13"/>
      <c r="E702" s="13"/>
      <c r="F702" s="113" t="s">
        <v>163</v>
      </c>
      <c r="G702" s="113"/>
      <c r="H702" s="113"/>
      <c r="I702" s="113"/>
      <c r="J702" s="113"/>
      <c r="K702" s="113"/>
      <c r="L702" s="113"/>
      <c r="M702" s="173" t="s">
        <v>1</v>
      </c>
      <c r="N702" s="146" t="s">
        <v>159</v>
      </c>
      <c r="O702" s="146"/>
      <c r="P702" s="146"/>
      <c r="Q702" s="146"/>
      <c r="R702" s="146"/>
      <c r="S702" s="146"/>
      <c r="T702" s="146"/>
      <c r="U702" s="146"/>
      <c r="V702" s="113" t="s">
        <v>162</v>
      </c>
      <c r="W702" s="113"/>
      <c r="X702" s="113"/>
      <c r="Y702" s="113"/>
      <c r="Z702" s="113"/>
      <c r="AA702" s="113"/>
      <c r="AB702" s="113"/>
      <c r="AC702" s="13"/>
      <c r="AD702" s="13"/>
      <c r="AE702" s="14"/>
      <c r="AF702" s="14"/>
    </row>
    <row r="703" spans="2:32" ht="13.5" hidden="1" customHeight="1">
      <c r="B703" s="13"/>
      <c r="C703" s="2"/>
      <c r="D703" s="13"/>
      <c r="E703" s="13"/>
      <c r="F703" s="113"/>
      <c r="G703" s="113"/>
      <c r="H703" s="113"/>
      <c r="I703" s="113"/>
      <c r="J703" s="113"/>
      <c r="K703" s="113"/>
      <c r="L703" s="113"/>
      <c r="M703" s="113"/>
      <c r="N703" s="126" t="s">
        <v>160</v>
      </c>
      <c r="O703" s="126"/>
      <c r="P703" s="126"/>
      <c r="Q703" s="126"/>
      <c r="R703" s="126"/>
      <c r="S703" s="126"/>
      <c r="T703" s="126"/>
      <c r="U703" s="126"/>
      <c r="V703" s="113"/>
      <c r="W703" s="113"/>
      <c r="X703" s="113"/>
      <c r="Y703" s="113"/>
      <c r="Z703" s="113"/>
      <c r="AA703" s="113"/>
      <c r="AB703" s="113"/>
      <c r="AC703" s="13"/>
      <c r="AD703" s="13"/>
      <c r="AE703" s="14"/>
      <c r="AF703" s="14"/>
    </row>
    <row r="704" spans="2:32" ht="13.5" hidden="1" customHeight="1">
      <c r="B704" s="13"/>
      <c r="C704" s="2"/>
      <c r="D704" s="13"/>
      <c r="E704" s="13"/>
      <c r="F704" s="13"/>
      <c r="G704" s="13"/>
      <c r="H704" s="13"/>
      <c r="I704" s="13"/>
      <c r="J704" s="29"/>
      <c r="K704" s="29"/>
      <c r="L704" s="6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4"/>
      <c r="AF704" s="14"/>
    </row>
    <row r="705" spans="2:32" ht="13.5" hidden="1" customHeight="1">
      <c r="B705" s="13"/>
      <c r="C705" s="2"/>
      <c r="D705" s="13"/>
      <c r="E705" s="13"/>
      <c r="F705" s="113" t="s">
        <v>163</v>
      </c>
      <c r="G705" s="113"/>
      <c r="H705" s="113"/>
      <c r="I705" s="113"/>
      <c r="J705" s="113"/>
      <c r="K705" s="113"/>
      <c r="L705" s="113"/>
      <c r="M705" s="173" t="s">
        <v>1</v>
      </c>
      <c r="N705" s="174" t="e">
        <f>#REF!</f>
        <v>#REF!</v>
      </c>
      <c r="O705" s="174"/>
      <c r="P705" s="174"/>
      <c r="Q705" s="174"/>
      <c r="R705" s="174"/>
      <c r="S705" s="174"/>
      <c r="T705" s="174"/>
      <c r="U705" s="174"/>
      <c r="V705" s="176">
        <f>L699/1000</f>
        <v>8.9999999999999993E-3</v>
      </c>
      <c r="W705" s="176"/>
      <c r="X705" s="176"/>
      <c r="Y705" s="13"/>
      <c r="Z705" s="13"/>
      <c r="AA705" s="13"/>
      <c r="AB705" s="13"/>
      <c r="AC705" s="13"/>
      <c r="AD705" s="13"/>
      <c r="AE705" s="14"/>
      <c r="AF705" s="14"/>
    </row>
    <row r="706" spans="2:32" ht="13.5" hidden="1" customHeight="1">
      <c r="B706" s="13"/>
      <c r="C706" s="2"/>
      <c r="D706" s="13"/>
      <c r="E706" s="13"/>
      <c r="F706" s="113"/>
      <c r="G706" s="113"/>
      <c r="H706" s="113"/>
      <c r="I706" s="113"/>
      <c r="J706" s="113"/>
      <c r="K706" s="113"/>
      <c r="L706" s="113"/>
      <c r="M706" s="113"/>
      <c r="N706" s="196">
        <f>H698</f>
        <v>2</v>
      </c>
      <c r="O706" s="196"/>
      <c r="P706" s="196"/>
      <c r="Q706" s="196"/>
      <c r="R706" s="196"/>
      <c r="S706" s="196"/>
      <c r="T706" s="196"/>
      <c r="U706" s="196"/>
      <c r="V706" s="176"/>
      <c r="W706" s="176"/>
      <c r="X706" s="176"/>
      <c r="Y706" s="13"/>
      <c r="Z706" s="13"/>
      <c r="AA706" s="13"/>
      <c r="AB706" s="13"/>
      <c r="AC706" s="13"/>
      <c r="AD706" s="13"/>
      <c r="AE706" s="14"/>
      <c r="AF706" s="14"/>
    </row>
    <row r="707" spans="2:32" ht="13.5" hidden="1" customHeight="1">
      <c r="B707" s="13"/>
      <c r="C707" s="2"/>
      <c r="D707" s="13"/>
      <c r="E707" s="13"/>
      <c r="F707" s="13"/>
      <c r="G707" s="13"/>
      <c r="H707" s="13"/>
      <c r="I707" s="13"/>
      <c r="J707" s="29"/>
      <c r="K707" s="29"/>
      <c r="L707" s="6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4"/>
      <c r="AF707" s="14"/>
    </row>
    <row r="708" spans="2:32" ht="13.5" hidden="1" customHeight="1">
      <c r="B708" s="13"/>
      <c r="C708" s="2"/>
      <c r="D708" s="13"/>
      <c r="E708" s="13"/>
      <c r="F708" s="113" t="s">
        <v>163</v>
      </c>
      <c r="G708" s="113"/>
      <c r="H708" s="113"/>
      <c r="I708" s="113"/>
      <c r="J708" s="113"/>
      <c r="K708" s="113"/>
      <c r="L708" s="113"/>
      <c r="M708" s="173" t="s">
        <v>1</v>
      </c>
      <c r="N708" s="176" t="e">
        <f>(N705/N706)*V705</f>
        <v>#REF!</v>
      </c>
      <c r="O708" s="176"/>
      <c r="P708" s="176"/>
      <c r="Q708" s="13"/>
      <c r="R708" s="113" t="s">
        <v>78</v>
      </c>
      <c r="S708" s="113"/>
      <c r="T708" s="1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4"/>
      <c r="AF708" s="14"/>
    </row>
    <row r="709" spans="2:32" ht="13.5" hidden="1" customHeight="1">
      <c r="B709" s="13"/>
      <c r="C709" s="2"/>
      <c r="D709" s="13"/>
      <c r="E709" s="13"/>
      <c r="F709" s="113"/>
      <c r="G709" s="113"/>
      <c r="H709" s="113"/>
      <c r="I709" s="113"/>
      <c r="J709" s="113"/>
      <c r="K709" s="113"/>
      <c r="L709" s="113"/>
      <c r="M709" s="113"/>
      <c r="N709" s="176"/>
      <c r="O709" s="176"/>
      <c r="P709" s="176"/>
      <c r="Q709" s="13"/>
      <c r="R709" s="113"/>
      <c r="S709" s="113"/>
      <c r="T709" s="1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4"/>
      <c r="AF709" s="14"/>
    </row>
    <row r="710" spans="2:32" ht="13.5" hidden="1" customHeight="1">
      <c r="B710" s="13"/>
      <c r="C710" s="2"/>
      <c r="D710" s="13"/>
      <c r="E710" s="13"/>
      <c r="F710" s="13"/>
      <c r="G710" s="13"/>
      <c r="H710" s="13"/>
      <c r="I710" s="13"/>
      <c r="J710" s="29"/>
      <c r="K710" s="29"/>
      <c r="L710" s="6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4"/>
      <c r="AF710" s="14"/>
    </row>
    <row r="711" spans="2:32" ht="13.5" hidden="1" customHeight="1">
      <c r="B711" s="13"/>
      <c r="C711" s="2"/>
      <c r="D711" s="13"/>
      <c r="E711" s="13"/>
      <c r="F711" s="13"/>
      <c r="G711" s="13"/>
      <c r="H711" s="13"/>
      <c r="I711" s="13"/>
      <c r="J711" s="29"/>
      <c r="K711" s="29"/>
      <c r="L711" s="6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4"/>
      <c r="AF711" s="14"/>
    </row>
    <row r="712" spans="2:32" ht="13.5" hidden="1" customHeight="1">
      <c r="B712" s="13"/>
      <c r="C712" s="2"/>
      <c r="D712" s="13"/>
      <c r="E712" s="13"/>
      <c r="F712" s="113" t="s">
        <v>164</v>
      </c>
      <c r="G712" s="113"/>
      <c r="H712" s="113"/>
      <c r="I712" s="113"/>
      <c r="J712" s="113"/>
      <c r="K712" s="113"/>
      <c r="L712" s="113"/>
      <c r="M712" s="173" t="s">
        <v>1</v>
      </c>
      <c r="N712" s="146" t="s">
        <v>161</v>
      </c>
      <c r="O712" s="146"/>
      <c r="P712" s="146"/>
      <c r="Q712" s="146"/>
      <c r="R712" s="146"/>
      <c r="S712" s="146"/>
      <c r="T712" s="146"/>
      <c r="U712" s="146"/>
      <c r="V712" s="113" t="s">
        <v>162</v>
      </c>
      <c r="W712" s="113"/>
      <c r="X712" s="113"/>
      <c r="Y712" s="113"/>
      <c r="Z712" s="113"/>
      <c r="AA712" s="113"/>
      <c r="AB712" s="113"/>
      <c r="AC712" s="13"/>
      <c r="AD712" s="13"/>
      <c r="AE712" s="14"/>
      <c r="AF712" s="14"/>
    </row>
    <row r="713" spans="2:32" ht="13.5" hidden="1" customHeight="1">
      <c r="B713" s="13"/>
      <c r="C713" s="2"/>
      <c r="D713" s="13"/>
      <c r="E713" s="13"/>
      <c r="F713" s="113"/>
      <c r="G713" s="113"/>
      <c r="H713" s="113"/>
      <c r="I713" s="113"/>
      <c r="J713" s="113"/>
      <c r="K713" s="113"/>
      <c r="L713" s="113"/>
      <c r="M713" s="113"/>
      <c r="N713" s="126" t="s">
        <v>160</v>
      </c>
      <c r="O713" s="126"/>
      <c r="P713" s="126"/>
      <c r="Q713" s="126"/>
      <c r="R713" s="126"/>
      <c r="S713" s="126"/>
      <c r="T713" s="126"/>
      <c r="U713" s="126"/>
      <c r="V713" s="113"/>
      <c r="W713" s="113"/>
      <c r="X713" s="113"/>
      <c r="Y713" s="113"/>
      <c r="Z713" s="113"/>
      <c r="AA713" s="113"/>
      <c r="AB713" s="113"/>
      <c r="AC713" s="13"/>
      <c r="AD713" s="13"/>
      <c r="AE713" s="14"/>
      <c r="AF713" s="14"/>
    </row>
    <row r="714" spans="2:32" ht="13.5" hidden="1" customHeight="1">
      <c r="B714" s="13"/>
      <c r="C714" s="2"/>
      <c r="D714" s="13"/>
      <c r="E714" s="13"/>
      <c r="F714" s="13"/>
      <c r="G714" s="13"/>
      <c r="H714" s="13"/>
      <c r="I714" s="13"/>
      <c r="J714" s="29"/>
      <c r="K714" s="29"/>
      <c r="L714" s="6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4"/>
      <c r="AF714" s="14"/>
    </row>
    <row r="715" spans="2:32" ht="13.5" hidden="1" customHeight="1">
      <c r="B715" s="13"/>
      <c r="C715" s="2"/>
      <c r="D715" s="13"/>
      <c r="E715" s="13"/>
      <c r="F715" s="113" t="s">
        <v>164</v>
      </c>
      <c r="G715" s="113"/>
      <c r="H715" s="113"/>
      <c r="I715" s="113"/>
      <c r="J715" s="113"/>
      <c r="K715" s="113"/>
      <c r="L715" s="113"/>
      <c r="M715" s="173" t="s">
        <v>1</v>
      </c>
      <c r="N715" s="174" t="e">
        <f>#REF!</f>
        <v>#REF!</v>
      </c>
      <c r="O715" s="174"/>
      <c r="P715" s="174"/>
      <c r="Q715" s="174"/>
      <c r="R715" s="174"/>
      <c r="S715" s="174"/>
      <c r="T715" s="174"/>
      <c r="U715" s="174"/>
      <c r="V715" s="176">
        <f>L699/1000</f>
        <v>8.9999999999999993E-3</v>
      </c>
      <c r="W715" s="176"/>
      <c r="X715" s="176"/>
      <c r="Y715" s="13"/>
      <c r="Z715" s="13"/>
      <c r="AA715" s="13"/>
      <c r="AB715" s="13"/>
      <c r="AC715" s="13"/>
      <c r="AD715" s="13"/>
      <c r="AE715" s="14"/>
      <c r="AF715" s="14"/>
    </row>
    <row r="716" spans="2:32" ht="13.5" hidden="1" customHeight="1">
      <c r="B716" s="13"/>
      <c r="C716" s="2"/>
      <c r="D716" s="13"/>
      <c r="E716" s="13"/>
      <c r="F716" s="113"/>
      <c r="G716" s="113"/>
      <c r="H716" s="113"/>
      <c r="I716" s="113"/>
      <c r="J716" s="113"/>
      <c r="K716" s="113"/>
      <c r="L716" s="113"/>
      <c r="M716" s="113"/>
      <c r="N716" s="196">
        <f>H698</f>
        <v>2</v>
      </c>
      <c r="O716" s="196"/>
      <c r="P716" s="196"/>
      <c r="Q716" s="196"/>
      <c r="R716" s="196"/>
      <c r="S716" s="196"/>
      <c r="T716" s="196"/>
      <c r="U716" s="196"/>
      <c r="V716" s="176"/>
      <c r="W716" s="176"/>
      <c r="X716" s="176"/>
      <c r="Y716" s="13"/>
      <c r="Z716" s="13"/>
      <c r="AA716" s="13"/>
      <c r="AB716" s="13"/>
      <c r="AC716" s="13"/>
      <c r="AD716" s="13"/>
      <c r="AE716" s="14"/>
      <c r="AF716" s="14"/>
    </row>
    <row r="717" spans="2:32" ht="13.5" hidden="1" customHeight="1">
      <c r="B717" s="13"/>
      <c r="C717" s="2"/>
      <c r="D717" s="13"/>
      <c r="E717" s="13"/>
      <c r="F717" s="13"/>
      <c r="G717" s="13"/>
      <c r="H717" s="13"/>
      <c r="I717" s="13"/>
      <c r="J717" s="29"/>
      <c r="K717" s="29"/>
      <c r="L717" s="6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4"/>
      <c r="AF717" s="14"/>
    </row>
    <row r="718" spans="2:32" ht="13.5" hidden="1" customHeight="1">
      <c r="B718" s="13"/>
      <c r="C718" s="2"/>
      <c r="D718" s="13"/>
      <c r="E718" s="13"/>
      <c r="F718" s="113" t="s">
        <v>164</v>
      </c>
      <c r="G718" s="113"/>
      <c r="H718" s="113"/>
      <c r="I718" s="113"/>
      <c r="J718" s="113"/>
      <c r="K718" s="113"/>
      <c r="L718" s="113"/>
      <c r="M718" s="173" t="s">
        <v>1</v>
      </c>
      <c r="N718" s="176" t="e">
        <f>(N715/N716)*V715</f>
        <v>#REF!</v>
      </c>
      <c r="O718" s="176"/>
      <c r="P718" s="176"/>
      <c r="Q718" s="13"/>
      <c r="R718" s="113" t="s">
        <v>78</v>
      </c>
      <c r="S718" s="113"/>
      <c r="T718" s="1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4"/>
      <c r="AF718" s="14"/>
    </row>
    <row r="719" spans="2:32" ht="13.5" hidden="1" customHeight="1">
      <c r="B719" s="13"/>
      <c r="C719" s="2"/>
      <c r="D719" s="13"/>
      <c r="E719" s="13"/>
      <c r="F719" s="113"/>
      <c r="G719" s="113"/>
      <c r="H719" s="113"/>
      <c r="I719" s="113"/>
      <c r="J719" s="113"/>
      <c r="K719" s="113"/>
      <c r="L719" s="113"/>
      <c r="M719" s="113"/>
      <c r="N719" s="176"/>
      <c r="O719" s="176"/>
      <c r="P719" s="176"/>
      <c r="Q719" s="13"/>
      <c r="R719" s="113"/>
      <c r="S719" s="113"/>
      <c r="T719" s="1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4"/>
      <c r="AF719" s="14"/>
    </row>
    <row r="720" spans="2:32" ht="13.5" hidden="1" customHeight="1">
      <c r="B720" s="21"/>
      <c r="C720" s="34"/>
      <c r="D720" s="21"/>
      <c r="E720" s="21"/>
      <c r="F720" s="21"/>
      <c r="G720" s="21"/>
      <c r="H720" s="21"/>
      <c r="I720" s="21"/>
      <c r="J720" s="35"/>
      <c r="K720" s="35"/>
      <c r="L720" s="22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3"/>
      <c r="AF720" s="14"/>
    </row>
    <row r="721" spans="2:32" ht="13.5" hidden="1" customHeight="1">
      <c r="B721" s="13"/>
      <c r="C721" s="2"/>
      <c r="D721" s="13"/>
      <c r="E721" s="13"/>
      <c r="F721" s="13"/>
      <c r="G721" s="13"/>
      <c r="H721" s="13"/>
      <c r="I721" s="13"/>
      <c r="J721" s="29"/>
      <c r="K721" s="29"/>
      <c r="L721" s="6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4"/>
      <c r="AF721" s="14"/>
    </row>
    <row r="722" spans="2:32" s="11" customFormat="1" ht="13.5" hidden="1" customHeight="1">
      <c r="B722" s="9"/>
      <c r="C722" s="3"/>
      <c r="D722" s="9"/>
      <c r="E722" s="9"/>
      <c r="F722" s="9" t="s">
        <v>21</v>
      </c>
      <c r="G722" s="9" t="s">
        <v>79</v>
      </c>
      <c r="H722" s="9"/>
      <c r="I722" s="9"/>
      <c r="J722" s="28"/>
      <c r="K722" s="28"/>
      <c r="L722" s="7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10"/>
      <c r="AF722" s="10"/>
    </row>
    <row r="723" spans="2:32" ht="13.5" hidden="1" customHeight="1">
      <c r="B723" s="13"/>
      <c r="C723" s="2"/>
      <c r="D723" s="13"/>
      <c r="E723" s="13"/>
      <c r="F723" s="13"/>
      <c r="G723" s="13"/>
      <c r="H723" s="13"/>
      <c r="I723" s="13"/>
      <c r="J723" s="29"/>
      <c r="K723" s="29"/>
      <c r="L723" s="6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4"/>
      <c r="AF723" s="14"/>
    </row>
    <row r="724" spans="2:32" ht="13.5" hidden="1" customHeight="1">
      <c r="B724" s="13"/>
      <c r="C724" s="2"/>
      <c r="D724" s="13"/>
      <c r="E724" s="13"/>
      <c r="F724" s="13"/>
      <c r="G724" s="13"/>
      <c r="H724" s="13"/>
      <c r="I724" s="13"/>
      <c r="J724" s="113" t="s">
        <v>105</v>
      </c>
      <c r="K724" s="113"/>
      <c r="L724" s="113"/>
      <c r="M724" s="173" t="s">
        <v>1</v>
      </c>
      <c r="N724" s="197" t="s">
        <v>95</v>
      </c>
      <c r="O724" s="198"/>
      <c r="P724" s="198"/>
      <c r="Q724" s="208" t="s">
        <v>8</v>
      </c>
      <c r="R724" s="198"/>
      <c r="S724" s="198" t="s">
        <v>96</v>
      </c>
      <c r="T724" s="198"/>
      <c r="U724" s="198"/>
      <c r="V724" s="13"/>
      <c r="W724" s="13"/>
      <c r="X724" s="13"/>
      <c r="Y724" s="13"/>
      <c r="Z724" s="13"/>
      <c r="AA724" s="13"/>
      <c r="AB724" s="13"/>
      <c r="AC724" s="13"/>
      <c r="AD724" s="13"/>
      <c r="AE724" s="14"/>
      <c r="AF724" s="14"/>
    </row>
    <row r="725" spans="2:32" ht="13.5" hidden="1" customHeight="1">
      <c r="B725" s="13"/>
      <c r="C725" s="2"/>
      <c r="D725" s="13"/>
      <c r="E725" s="13"/>
      <c r="F725" s="13"/>
      <c r="G725" s="13"/>
      <c r="H725" s="13"/>
      <c r="I725" s="13"/>
      <c r="J725" s="113"/>
      <c r="K725" s="113"/>
      <c r="L725" s="113"/>
      <c r="M725" s="113"/>
      <c r="N725" s="199"/>
      <c r="O725" s="113"/>
      <c r="P725" s="113"/>
      <c r="Q725" s="113"/>
      <c r="R725" s="113"/>
      <c r="S725" s="113"/>
      <c r="T725" s="113"/>
      <c r="U725" s="113"/>
      <c r="V725" s="13"/>
      <c r="W725" s="13"/>
      <c r="X725" s="13"/>
      <c r="Y725" s="13"/>
      <c r="Z725" s="13"/>
      <c r="AA725" s="13"/>
      <c r="AB725" s="13"/>
      <c r="AC725" s="13"/>
      <c r="AD725" s="13"/>
      <c r="AE725" s="14"/>
      <c r="AF725" s="14"/>
    </row>
    <row r="726" spans="2:32" ht="13.5" hidden="1" customHeight="1">
      <c r="B726" s="13"/>
      <c r="C726" s="2"/>
      <c r="D726" s="13"/>
      <c r="E726" s="13"/>
      <c r="F726" s="13"/>
      <c r="G726" s="13"/>
      <c r="H726" s="13"/>
      <c r="I726" s="13"/>
      <c r="J726" s="29"/>
      <c r="K726" s="29"/>
      <c r="L726" s="6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4"/>
      <c r="AF726" s="14"/>
    </row>
    <row r="727" spans="2:32" ht="13.5" hidden="1" customHeight="1">
      <c r="B727" s="13"/>
      <c r="C727" s="2"/>
      <c r="D727" s="13"/>
      <c r="E727" s="13"/>
      <c r="F727" s="13"/>
      <c r="G727" s="13"/>
      <c r="H727" s="13"/>
      <c r="I727" s="13"/>
      <c r="J727" s="113" t="s">
        <v>105</v>
      </c>
      <c r="K727" s="113"/>
      <c r="L727" s="113"/>
      <c r="M727" s="173" t="s">
        <v>1</v>
      </c>
      <c r="N727" s="206" t="e">
        <f>N708*N708</f>
        <v>#REF!</v>
      </c>
      <c r="O727" s="195"/>
      <c r="P727" s="195"/>
      <c r="Q727" s="208" t="s">
        <v>8</v>
      </c>
      <c r="R727" s="198"/>
      <c r="S727" s="195" t="e">
        <f>N718*N718</f>
        <v>#REF!</v>
      </c>
      <c r="T727" s="195"/>
      <c r="U727" s="195"/>
      <c r="V727" s="13"/>
      <c r="W727" s="13"/>
      <c r="X727" s="13"/>
      <c r="Y727" s="13"/>
      <c r="Z727" s="13"/>
      <c r="AA727" s="13"/>
      <c r="AB727" s="13"/>
      <c r="AC727" s="13"/>
      <c r="AD727" s="13"/>
      <c r="AE727" s="14"/>
      <c r="AF727" s="14"/>
    </row>
    <row r="728" spans="2:32" ht="13.5" hidden="1" customHeight="1">
      <c r="B728" s="13"/>
      <c r="C728" s="2"/>
      <c r="D728" s="13"/>
      <c r="E728" s="13"/>
      <c r="F728" s="13"/>
      <c r="G728" s="13"/>
      <c r="H728" s="13"/>
      <c r="I728" s="13"/>
      <c r="J728" s="113"/>
      <c r="K728" s="113"/>
      <c r="L728" s="113"/>
      <c r="M728" s="113"/>
      <c r="N728" s="207"/>
      <c r="O728" s="176"/>
      <c r="P728" s="176"/>
      <c r="Q728" s="113"/>
      <c r="R728" s="113"/>
      <c r="S728" s="176"/>
      <c r="T728" s="176"/>
      <c r="U728" s="176"/>
      <c r="V728" s="13"/>
      <c r="W728" s="13"/>
      <c r="X728" s="13"/>
      <c r="Y728" s="13"/>
      <c r="Z728" s="13"/>
      <c r="AA728" s="13"/>
      <c r="AB728" s="13"/>
      <c r="AC728" s="13"/>
      <c r="AD728" s="13"/>
      <c r="AE728" s="14"/>
      <c r="AF728" s="14"/>
    </row>
    <row r="729" spans="2:32" ht="13.5" hidden="1" customHeight="1">
      <c r="B729" s="13"/>
      <c r="C729" s="2"/>
      <c r="D729" s="13"/>
      <c r="E729" s="13"/>
      <c r="F729" s="13"/>
      <c r="G729" s="13"/>
      <c r="H729" s="13"/>
      <c r="I729" s="13"/>
      <c r="J729" s="29"/>
      <c r="K729" s="29"/>
      <c r="L729" s="6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4"/>
      <c r="AF729" s="14"/>
    </row>
    <row r="730" spans="2:32" ht="13.5" hidden="1" customHeight="1">
      <c r="B730" s="13"/>
      <c r="C730" s="2"/>
      <c r="D730" s="13"/>
      <c r="E730" s="13"/>
      <c r="F730" s="13"/>
      <c r="G730" s="13"/>
      <c r="H730" s="13"/>
      <c r="I730" s="13"/>
      <c r="J730" s="113" t="s">
        <v>105</v>
      </c>
      <c r="K730" s="113"/>
      <c r="L730" s="113"/>
      <c r="M730" s="173" t="s">
        <v>1</v>
      </c>
      <c r="N730" s="176" t="e">
        <f>SQRT(N727+S727)</f>
        <v>#REF!</v>
      </c>
      <c r="O730" s="176"/>
      <c r="P730" s="176"/>
      <c r="Q730" s="176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4"/>
      <c r="AF730" s="14"/>
    </row>
    <row r="731" spans="2:32" ht="13.5" hidden="1" customHeight="1">
      <c r="B731" s="13"/>
      <c r="C731" s="2"/>
      <c r="D731" s="13"/>
      <c r="E731" s="13"/>
      <c r="F731" s="13"/>
      <c r="G731" s="13"/>
      <c r="H731" s="13"/>
      <c r="I731" s="13"/>
      <c r="J731" s="113"/>
      <c r="K731" s="113"/>
      <c r="L731" s="113"/>
      <c r="M731" s="113"/>
      <c r="N731" s="176"/>
      <c r="O731" s="176"/>
      <c r="P731" s="176"/>
      <c r="Q731" s="176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4"/>
      <c r="AF731" s="14"/>
    </row>
    <row r="732" spans="2:32" ht="13.5" hidden="1" customHeight="1">
      <c r="B732" s="13"/>
      <c r="C732" s="2"/>
      <c r="D732" s="13"/>
      <c r="E732" s="13"/>
      <c r="F732" s="13"/>
      <c r="G732" s="13"/>
      <c r="H732" s="13"/>
      <c r="I732" s="13"/>
      <c r="J732" s="29"/>
      <c r="K732" s="29"/>
      <c r="L732" s="6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4"/>
      <c r="AF732" s="14"/>
    </row>
    <row r="733" spans="2:32" s="11" customFormat="1" ht="13.5" hidden="1" customHeight="1">
      <c r="B733" s="9"/>
      <c r="C733" s="3"/>
      <c r="D733" s="9"/>
      <c r="E733" s="9"/>
      <c r="F733" s="9" t="s">
        <v>22</v>
      </c>
      <c r="G733" s="9" t="s">
        <v>139</v>
      </c>
      <c r="H733" s="9"/>
      <c r="I733" s="9"/>
      <c r="J733" s="28"/>
      <c r="K733" s="28"/>
      <c r="L733" s="7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10"/>
      <c r="AF733" s="10"/>
    </row>
    <row r="734" spans="2:32" ht="13.5" hidden="1" customHeight="1">
      <c r="B734" s="13"/>
      <c r="C734" s="2"/>
      <c r="D734" s="13"/>
      <c r="E734" s="13"/>
      <c r="F734" s="13"/>
      <c r="G734" s="13"/>
      <c r="H734" s="13"/>
      <c r="I734" s="13"/>
      <c r="J734" s="29"/>
      <c r="K734" s="29"/>
      <c r="L734" s="6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4"/>
      <c r="AF734" s="14"/>
    </row>
    <row r="735" spans="2:32" ht="13.5" hidden="1" customHeight="1">
      <c r="B735" s="13"/>
      <c r="C735" s="2"/>
      <c r="D735" s="13"/>
      <c r="E735" s="13"/>
      <c r="F735" s="13"/>
      <c r="G735" s="13"/>
      <c r="H735" s="13"/>
      <c r="I735" s="13"/>
      <c r="J735" s="29"/>
      <c r="K735" s="205" t="s">
        <v>97</v>
      </c>
      <c r="L735" s="205"/>
      <c r="M735" s="173" t="s">
        <v>1</v>
      </c>
      <c r="N735" s="146" t="s">
        <v>80</v>
      </c>
      <c r="O735" s="146"/>
      <c r="P735" s="146"/>
      <c r="Q735" s="146"/>
      <c r="R735" s="146" t="s">
        <v>73</v>
      </c>
      <c r="S735" s="146"/>
      <c r="T735" s="146" t="s">
        <v>81</v>
      </c>
      <c r="U735" s="146"/>
      <c r="V735" s="146"/>
      <c r="W735" s="13"/>
      <c r="X735" s="13"/>
      <c r="Y735" s="13"/>
      <c r="Z735" s="13"/>
      <c r="AA735" s="13"/>
      <c r="AB735" s="13"/>
      <c r="AC735" s="13"/>
      <c r="AD735" s="13"/>
      <c r="AE735" s="14"/>
      <c r="AF735" s="14"/>
    </row>
    <row r="736" spans="2:32" ht="13.5" hidden="1" customHeight="1">
      <c r="B736" s="13"/>
      <c r="C736" s="2"/>
      <c r="D736" s="13"/>
      <c r="E736" s="13"/>
      <c r="F736" s="13"/>
      <c r="G736" s="13"/>
      <c r="H736" s="13"/>
      <c r="I736" s="13"/>
      <c r="J736" s="29"/>
      <c r="K736" s="205"/>
      <c r="L736" s="205"/>
      <c r="M736" s="113"/>
      <c r="N736" s="126" t="s">
        <v>98</v>
      </c>
      <c r="O736" s="126"/>
      <c r="P736" s="126"/>
      <c r="Q736" s="126"/>
      <c r="R736" s="126" t="s">
        <v>73</v>
      </c>
      <c r="S736" s="126"/>
      <c r="T736" s="126">
        <v>1000</v>
      </c>
      <c r="U736" s="126"/>
      <c r="V736" s="126"/>
      <c r="W736" s="13"/>
      <c r="X736" s="13"/>
      <c r="Y736" s="13"/>
      <c r="Z736" s="13"/>
      <c r="AA736" s="13"/>
      <c r="AB736" s="13"/>
      <c r="AC736" s="13"/>
      <c r="AD736" s="13"/>
      <c r="AE736" s="14"/>
      <c r="AF736" s="14"/>
    </row>
    <row r="737" spans="2:32" ht="13.5" hidden="1" customHeight="1">
      <c r="B737" s="13"/>
      <c r="C737" s="2"/>
      <c r="D737" s="13"/>
      <c r="E737" s="13"/>
      <c r="F737" s="13"/>
      <c r="G737" s="13"/>
      <c r="H737" s="13"/>
      <c r="I737" s="13"/>
      <c r="J737" s="29"/>
      <c r="K737" s="29"/>
      <c r="L737" s="6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4"/>
      <c r="AF737" s="14"/>
    </row>
    <row r="738" spans="2:32" ht="13.5" hidden="1" customHeight="1">
      <c r="B738" s="13"/>
      <c r="C738" s="2"/>
      <c r="D738" s="13"/>
      <c r="E738" s="13"/>
      <c r="F738" s="13"/>
      <c r="G738" s="13"/>
      <c r="H738" s="13"/>
      <c r="I738" s="13"/>
      <c r="J738" s="29"/>
      <c r="K738" s="205" t="s">
        <v>97</v>
      </c>
      <c r="L738" s="205"/>
      <c r="M738" s="173" t="s">
        <v>1</v>
      </c>
      <c r="N738" s="174" t="e">
        <f>N708</f>
        <v>#REF!</v>
      </c>
      <c r="O738" s="174"/>
      <c r="P738" s="174"/>
      <c r="Q738" s="146" t="s">
        <v>73</v>
      </c>
      <c r="R738" s="146"/>
      <c r="S738" s="174" t="e">
        <f>#REF!</f>
        <v>#REF!</v>
      </c>
      <c r="T738" s="174"/>
      <c r="U738" s="174"/>
      <c r="V738" s="13"/>
      <c r="W738" s="13"/>
      <c r="X738" s="13"/>
      <c r="Y738" s="13"/>
      <c r="Z738" s="13"/>
      <c r="AA738" s="13"/>
      <c r="AB738" s="13"/>
      <c r="AC738" s="13"/>
      <c r="AD738" s="13"/>
      <c r="AE738" s="14"/>
      <c r="AF738" s="14"/>
    </row>
    <row r="739" spans="2:32" ht="13.5" hidden="1" customHeight="1">
      <c r="B739" s="13"/>
      <c r="C739" s="2"/>
      <c r="D739" s="13"/>
      <c r="E739" s="13"/>
      <c r="F739" s="13"/>
      <c r="G739" s="13"/>
      <c r="H739" s="13"/>
      <c r="I739" s="13"/>
      <c r="J739" s="29"/>
      <c r="K739" s="205"/>
      <c r="L739" s="205"/>
      <c r="M739" s="113"/>
      <c r="N739" s="196" t="e">
        <f>(#REF!/1000)*(#REF!/1000)</f>
        <v>#REF!</v>
      </c>
      <c r="O739" s="196"/>
      <c r="P739" s="196"/>
      <c r="Q739" s="126" t="s">
        <v>73</v>
      </c>
      <c r="R739" s="126"/>
      <c r="S739" s="196">
        <v>1000</v>
      </c>
      <c r="T739" s="196"/>
      <c r="U739" s="196"/>
      <c r="V739" s="13"/>
      <c r="W739" s="13"/>
      <c r="X739" s="13"/>
      <c r="Y739" s="13"/>
      <c r="Z739" s="13"/>
      <c r="AA739" s="13"/>
      <c r="AB739" s="13"/>
      <c r="AC739" s="13"/>
      <c r="AD739" s="13"/>
      <c r="AE739" s="14"/>
      <c r="AF739" s="14"/>
    </row>
    <row r="740" spans="2:32" ht="13.5" hidden="1" customHeight="1">
      <c r="B740" s="13"/>
      <c r="C740" s="2"/>
      <c r="D740" s="13"/>
      <c r="E740" s="13"/>
      <c r="F740" s="13"/>
      <c r="G740" s="13"/>
      <c r="H740" s="13"/>
      <c r="I740" s="13"/>
      <c r="J740" s="29"/>
      <c r="K740" s="29"/>
      <c r="L740" s="6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4"/>
      <c r="AF740" s="14"/>
    </row>
    <row r="741" spans="2:32" ht="13.5" hidden="1" customHeight="1">
      <c r="B741" s="13"/>
      <c r="C741" s="2"/>
      <c r="D741" s="13"/>
      <c r="E741" s="13"/>
      <c r="F741" s="13"/>
      <c r="G741" s="13"/>
      <c r="H741" s="13"/>
      <c r="I741" s="13"/>
      <c r="J741" s="29"/>
      <c r="K741" s="205" t="s">
        <v>97</v>
      </c>
      <c r="L741" s="205"/>
      <c r="M741" s="173" t="s">
        <v>1</v>
      </c>
      <c r="N741" s="176" t="e">
        <f>(N738*S738)/(N739*S739)</f>
        <v>#REF!</v>
      </c>
      <c r="O741" s="176"/>
      <c r="P741" s="176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4"/>
      <c r="AF741" s="14"/>
    </row>
    <row r="742" spans="2:32" ht="13.5" hidden="1" customHeight="1">
      <c r="B742" s="13"/>
      <c r="C742" s="2"/>
      <c r="D742" s="13"/>
      <c r="E742" s="13"/>
      <c r="F742" s="13"/>
      <c r="G742" s="13"/>
      <c r="H742" s="13"/>
      <c r="I742" s="13"/>
      <c r="J742" s="29"/>
      <c r="K742" s="205"/>
      <c r="L742" s="205"/>
      <c r="M742" s="113"/>
      <c r="N742" s="176"/>
      <c r="O742" s="176"/>
      <c r="P742" s="176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4"/>
      <c r="AF742" s="14"/>
    </row>
    <row r="743" spans="2:32" ht="13.5" hidden="1" customHeight="1">
      <c r="B743" s="13"/>
      <c r="C743" s="2"/>
      <c r="D743" s="13"/>
      <c r="E743" s="13"/>
      <c r="F743" s="13"/>
      <c r="G743" s="13"/>
      <c r="H743" s="13"/>
      <c r="I743" s="13"/>
      <c r="J743" s="29"/>
      <c r="K743" s="29"/>
      <c r="L743" s="6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4"/>
      <c r="AF743" s="14"/>
    </row>
    <row r="744" spans="2:32" s="11" customFormat="1" ht="13.5" hidden="1" customHeight="1">
      <c r="B744" s="9"/>
      <c r="C744" s="3"/>
      <c r="D744" s="9"/>
      <c r="E744" s="9"/>
      <c r="F744" s="9" t="s">
        <v>23</v>
      </c>
      <c r="G744" s="9" t="s">
        <v>140</v>
      </c>
      <c r="H744" s="9"/>
      <c r="I744" s="9"/>
      <c r="J744" s="28"/>
      <c r="K744" s="28"/>
      <c r="L744" s="7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10"/>
      <c r="AF744" s="10"/>
    </row>
    <row r="745" spans="2:32" ht="13.5" hidden="1" customHeight="1">
      <c r="B745" s="13"/>
      <c r="C745" s="2"/>
      <c r="D745" s="13"/>
      <c r="E745" s="13"/>
      <c r="F745" s="13"/>
      <c r="G745" s="13"/>
      <c r="H745" s="13"/>
      <c r="I745" s="13"/>
      <c r="J745" s="29"/>
      <c r="K745" s="29"/>
      <c r="L745" s="6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4"/>
      <c r="AF745" s="14"/>
    </row>
    <row r="746" spans="2:32" ht="13.5" hidden="1" customHeight="1">
      <c r="B746" s="13"/>
      <c r="C746" s="2"/>
      <c r="D746" s="13"/>
      <c r="E746" s="13"/>
      <c r="F746" s="13"/>
      <c r="G746" s="13"/>
      <c r="H746" s="13"/>
      <c r="I746" s="13"/>
      <c r="J746" s="29"/>
      <c r="K746" s="205" t="s">
        <v>99</v>
      </c>
      <c r="L746" s="205"/>
      <c r="M746" s="173" t="s">
        <v>1</v>
      </c>
      <c r="N746" s="146" t="s">
        <v>82</v>
      </c>
      <c r="O746" s="146"/>
      <c r="P746" s="146"/>
      <c r="Q746" s="146"/>
      <c r="R746" s="146" t="s">
        <v>73</v>
      </c>
      <c r="S746" s="146"/>
      <c r="T746" s="146" t="s">
        <v>81</v>
      </c>
      <c r="U746" s="146"/>
      <c r="V746" s="146"/>
      <c r="W746" s="13"/>
      <c r="X746" s="13"/>
      <c r="Y746" s="13"/>
      <c r="Z746" s="13"/>
      <c r="AA746" s="13"/>
      <c r="AB746" s="13"/>
      <c r="AC746" s="13"/>
      <c r="AD746" s="13"/>
      <c r="AE746" s="14"/>
      <c r="AF746" s="14"/>
    </row>
    <row r="747" spans="2:32" ht="13.5" hidden="1" customHeight="1">
      <c r="B747" s="13"/>
      <c r="C747" s="2"/>
      <c r="D747" s="13"/>
      <c r="E747" s="13"/>
      <c r="F747" s="13"/>
      <c r="G747" s="13"/>
      <c r="H747" s="13"/>
      <c r="I747" s="13"/>
      <c r="J747" s="29"/>
      <c r="K747" s="205"/>
      <c r="L747" s="205"/>
      <c r="M747" s="113"/>
      <c r="N747" s="126" t="s">
        <v>98</v>
      </c>
      <c r="O747" s="126"/>
      <c r="P747" s="126"/>
      <c r="Q747" s="126"/>
      <c r="R747" s="126" t="s">
        <v>73</v>
      </c>
      <c r="S747" s="126"/>
      <c r="T747" s="126">
        <v>1000</v>
      </c>
      <c r="U747" s="126"/>
      <c r="V747" s="126"/>
      <c r="W747" s="13"/>
      <c r="X747" s="13"/>
      <c r="Y747" s="13"/>
      <c r="Z747" s="13"/>
      <c r="AA747" s="13"/>
      <c r="AB747" s="13"/>
      <c r="AC747" s="13"/>
      <c r="AD747" s="13"/>
      <c r="AE747" s="14"/>
      <c r="AF747" s="14"/>
    </row>
    <row r="748" spans="2:32" ht="13.5" hidden="1" customHeight="1">
      <c r="B748" s="13"/>
      <c r="C748" s="2"/>
      <c r="D748" s="13"/>
      <c r="E748" s="13"/>
      <c r="F748" s="13"/>
      <c r="G748" s="13"/>
      <c r="H748" s="13"/>
      <c r="I748" s="13"/>
      <c r="J748" s="29"/>
      <c r="K748" s="29"/>
      <c r="L748" s="6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4"/>
      <c r="AF748" s="14"/>
    </row>
    <row r="749" spans="2:32" ht="13.5" hidden="1" customHeight="1">
      <c r="B749" s="13"/>
      <c r="C749" s="2"/>
      <c r="D749" s="13"/>
      <c r="E749" s="13"/>
      <c r="F749" s="13"/>
      <c r="G749" s="13"/>
      <c r="H749" s="13"/>
      <c r="I749" s="13"/>
      <c r="J749" s="29"/>
      <c r="K749" s="205" t="s">
        <v>99</v>
      </c>
      <c r="L749" s="205"/>
      <c r="M749" s="173" t="s">
        <v>1</v>
      </c>
      <c r="N749" s="174" t="e">
        <f>N718</f>
        <v>#REF!</v>
      </c>
      <c r="O749" s="174"/>
      <c r="P749" s="174"/>
      <c r="Q749" s="146" t="s">
        <v>73</v>
      </c>
      <c r="R749" s="146"/>
      <c r="S749" s="174" t="e">
        <f>#REF!</f>
        <v>#REF!</v>
      </c>
      <c r="T749" s="174"/>
      <c r="U749" s="174"/>
      <c r="V749" s="13"/>
      <c r="W749" s="13"/>
      <c r="X749" s="13"/>
      <c r="Y749" s="13"/>
      <c r="Z749" s="13"/>
      <c r="AA749" s="13"/>
      <c r="AB749" s="13"/>
      <c r="AC749" s="13"/>
      <c r="AD749" s="13"/>
      <c r="AE749" s="14"/>
      <c r="AF749" s="14"/>
    </row>
    <row r="750" spans="2:32" ht="13.5" hidden="1" customHeight="1">
      <c r="B750" s="13"/>
      <c r="C750" s="2"/>
      <c r="D750" s="13"/>
      <c r="E750" s="13"/>
      <c r="F750" s="13"/>
      <c r="G750" s="13"/>
      <c r="H750" s="13"/>
      <c r="I750" s="13"/>
      <c r="J750" s="29"/>
      <c r="K750" s="205"/>
      <c r="L750" s="205"/>
      <c r="M750" s="113"/>
      <c r="N750" s="196" t="e">
        <f>(#REF!/1000)*(#REF!/1000)</f>
        <v>#REF!</v>
      </c>
      <c r="O750" s="196"/>
      <c r="P750" s="196"/>
      <c r="Q750" s="126" t="s">
        <v>73</v>
      </c>
      <c r="R750" s="126"/>
      <c r="S750" s="196">
        <v>1000</v>
      </c>
      <c r="T750" s="196"/>
      <c r="U750" s="196"/>
      <c r="V750" s="13"/>
      <c r="W750" s="13"/>
      <c r="X750" s="13"/>
      <c r="Y750" s="13"/>
      <c r="Z750" s="13"/>
      <c r="AA750" s="13"/>
      <c r="AB750" s="13"/>
      <c r="AC750" s="13"/>
      <c r="AD750" s="13"/>
      <c r="AE750" s="14"/>
      <c r="AF750" s="14"/>
    </row>
    <row r="751" spans="2:32" ht="13.5" hidden="1" customHeight="1">
      <c r="B751" s="13"/>
      <c r="C751" s="2"/>
      <c r="D751" s="13"/>
      <c r="E751" s="13"/>
      <c r="F751" s="13"/>
      <c r="G751" s="13"/>
      <c r="H751" s="13"/>
      <c r="I751" s="13"/>
      <c r="J751" s="29"/>
      <c r="K751" s="29"/>
      <c r="L751" s="6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4"/>
      <c r="AF751" s="14"/>
    </row>
    <row r="752" spans="2:32" ht="13.5" hidden="1" customHeight="1">
      <c r="B752" s="13"/>
      <c r="C752" s="2"/>
      <c r="D752" s="13"/>
      <c r="E752" s="13"/>
      <c r="F752" s="13"/>
      <c r="G752" s="13"/>
      <c r="H752" s="13"/>
      <c r="I752" s="13"/>
      <c r="J752" s="29"/>
      <c r="K752" s="205" t="s">
        <v>99</v>
      </c>
      <c r="L752" s="205"/>
      <c r="M752" s="173" t="s">
        <v>1</v>
      </c>
      <c r="N752" s="176" t="e">
        <f>(N749*S749)/(N750*S750)</f>
        <v>#REF!</v>
      </c>
      <c r="O752" s="176"/>
      <c r="P752" s="176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4"/>
      <c r="AF752" s="14"/>
    </row>
    <row r="753" spans="2:32" ht="13.5" hidden="1" customHeight="1">
      <c r="B753" s="13"/>
      <c r="C753" s="2"/>
      <c r="D753" s="13"/>
      <c r="E753" s="13"/>
      <c r="F753" s="13"/>
      <c r="G753" s="13"/>
      <c r="H753" s="13"/>
      <c r="I753" s="13"/>
      <c r="J753" s="29"/>
      <c r="K753" s="205"/>
      <c r="L753" s="205"/>
      <c r="M753" s="113"/>
      <c r="N753" s="176"/>
      <c r="O753" s="176"/>
      <c r="P753" s="176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4"/>
      <c r="AF753" s="14"/>
    </row>
    <row r="754" spans="2:32" ht="13.5" hidden="1" customHeight="1">
      <c r="B754" s="13"/>
      <c r="C754" s="2"/>
      <c r="D754" s="13"/>
      <c r="E754" s="13"/>
      <c r="F754" s="13"/>
      <c r="G754" s="13"/>
      <c r="H754" s="13"/>
      <c r="I754" s="13"/>
      <c r="J754" s="29"/>
      <c r="K754" s="29"/>
      <c r="L754" s="29"/>
      <c r="M754" s="13"/>
      <c r="N754" s="17"/>
      <c r="O754" s="17"/>
      <c r="P754" s="17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4"/>
      <c r="AF754" s="14"/>
    </row>
    <row r="755" spans="2:32" ht="13.5" hidden="1" customHeight="1">
      <c r="B755" s="13"/>
      <c r="C755" s="2"/>
      <c r="D755" s="13"/>
      <c r="E755" s="13"/>
      <c r="F755" s="13"/>
      <c r="G755" s="13"/>
      <c r="H755" s="13"/>
      <c r="I755" s="13"/>
      <c r="J755" s="29"/>
      <c r="K755" s="29"/>
      <c r="L755" s="6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4"/>
      <c r="AF755" s="14"/>
    </row>
    <row r="756" spans="2:32" ht="13.5" hidden="1" customHeight="1">
      <c r="B756" s="13"/>
      <c r="C756" s="2"/>
      <c r="D756" s="13"/>
      <c r="E756" s="13"/>
      <c r="F756" s="13"/>
      <c r="G756" s="13" t="s">
        <v>14</v>
      </c>
      <c r="H756" s="13"/>
      <c r="I756" s="13"/>
      <c r="J756" s="29"/>
      <c r="K756" s="29"/>
      <c r="L756" s="6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4"/>
      <c r="AF756" s="14"/>
    </row>
    <row r="757" spans="2:32" ht="13.5" hidden="1" customHeight="1">
      <c r="B757" s="13"/>
      <c r="C757" s="2"/>
      <c r="D757" s="13"/>
      <c r="E757" s="13"/>
      <c r="F757" s="13"/>
      <c r="G757" s="13"/>
      <c r="H757" s="13"/>
      <c r="I757" s="13"/>
      <c r="J757" s="29"/>
      <c r="K757" s="29"/>
      <c r="L757" s="6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4"/>
      <c r="AF757" s="14"/>
    </row>
    <row r="758" spans="2:32" s="11" customFormat="1" ht="13.5" hidden="1" customHeight="1">
      <c r="B758" s="9"/>
      <c r="C758" s="3"/>
      <c r="D758" s="9"/>
      <c r="E758" s="9"/>
      <c r="F758" s="9" t="s">
        <v>24</v>
      </c>
      <c r="G758" s="9" t="s">
        <v>79</v>
      </c>
      <c r="H758" s="9"/>
      <c r="I758" s="9"/>
      <c r="J758" s="28"/>
      <c r="K758" s="28"/>
      <c r="L758" s="7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10"/>
      <c r="AF758" s="10"/>
    </row>
    <row r="759" spans="2:32" ht="13.5" hidden="1" customHeight="1">
      <c r="B759" s="13"/>
      <c r="C759" s="2"/>
      <c r="D759" s="13"/>
      <c r="E759" s="13"/>
      <c r="F759" s="13"/>
      <c r="G759" s="13"/>
      <c r="H759" s="13"/>
      <c r="I759" s="13"/>
      <c r="J759" s="29"/>
      <c r="K759" s="29"/>
      <c r="L759" s="6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4"/>
      <c r="AF759" s="14"/>
    </row>
    <row r="760" spans="2:32" ht="13.5" hidden="1" customHeight="1">
      <c r="B760" s="13"/>
      <c r="C760" s="2"/>
      <c r="D760" s="13"/>
      <c r="E760" s="13"/>
      <c r="F760" s="13"/>
      <c r="G760" s="13"/>
      <c r="H760" s="13"/>
      <c r="I760" s="113" t="s">
        <v>13</v>
      </c>
      <c r="J760" s="113"/>
      <c r="K760" s="113"/>
      <c r="L760" s="113"/>
      <c r="M760" s="173" t="s">
        <v>1</v>
      </c>
      <c r="N760" s="197" t="s">
        <v>95</v>
      </c>
      <c r="O760" s="198"/>
      <c r="P760" s="198"/>
      <c r="Q760" s="208" t="s">
        <v>8</v>
      </c>
      <c r="R760" s="198"/>
      <c r="S760" s="198" t="s">
        <v>96</v>
      </c>
      <c r="T760" s="198"/>
      <c r="U760" s="198"/>
      <c r="V760" s="13"/>
      <c r="W760" s="13"/>
      <c r="X760" s="13"/>
      <c r="Y760" s="13"/>
      <c r="Z760" s="13"/>
      <c r="AA760" s="13"/>
      <c r="AB760" s="13"/>
      <c r="AC760" s="13"/>
      <c r="AD760" s="13"/>
      <c r="AE760" s="14"/>
      <c r="AF760" s="14"/>
    </row>
    <row r="761" spans="2:32" ht="13.5" hidden="1" customHeight="1">
      <c r="B761" s="13"/>
      <c r="C761" s="2"/>
      <c r="D761" s="13"/>
      <c r="E761" s="13"/>
      <c r="F761" s="13"/>
      <c r="G761" s="13"/>
      <c r="H761" s="13"/>
      <c r="I761" s="113"/>
      <c r="J761" s="113"/>
      <c r="K761" s="113"/>
      <c r="L761" s="113"/>
      <c r="M761" s="113"/>
      <c r="N761" s="199"/>
      <c r="O761" s="113"/>
      <c r="P761" s="113"/>
      <c r="Q761" s="113"/>
      <c r="R761" s="113"/>
      <c r="S761" s="113"/>
      <c r="T761" s="113"/>
      <c r="U761" s="113"/>
      <c r="V761" s="13"/>
      <c r="W761" s="13"/>
      <c r="X761" s="13"/>
      <c r="Y761" s="13"/>
      <c r="Z761" s="13"/>
      <c r="AA761" s="13"/>
      <c r="AB761" s="13"/>
      <c r="AC761" s="13"/>
      <c r="AD761" s="13"/>
      <c r="AE761" s="14"/>
      <c r="AF761" s="14"/>
    </row>
    <row r="762" spans="2:32" ht="13.5" hidden="1" customHeight="1">
      <c r="B762" s="13"/>
      <c r="C762" s="2"/>
      <c r="D762" s="13"/>
      <c r="E762" s="13"/>
      <c r="F762" s="13"/>
      <c r="G762" s="13"/>
      <c r="H762" s="13"/>
      <c r="I762" s="13"/>
      <c r="J762" s="29"/>
      <c r="K762" s="29"/>
      <c r="L762" s="6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4"/>
      <c r="AF762" s="14"/>
    </row>
    <row r="763" spans="2:32" ht="13.5" hidden="1" customHeight="1">
      <c r="B763" s="13"/>
      <c r="C763" s="2"/>
      <c r="D763" s="13"/>
      <c r="E763" s="13"/>
      <c r="F763" s="13"/>
      <c r="G763" s="13"/>
      <c r="H763" s="13"/>
      <c r="I763" s="113" t="s">
        <v>13</v>
      </c>
      <c r="J763" s="113"/>
      <c r="K763" s="113"/>
      <c r="L763" s="113"/>
      <c r="M763" s="173" t="s">
        <v>1</v>
      </c>
      <c r="N763" s="206" t="e">
        <f>N741*N741</f>
        <v>#REF!</v>
      </c>
      <c r="O763" s="195"/>
      <c r="P763" s="195"/>
      <c r="Q763" s="208" t="s">
        <v>8</v>
      </c>
      <c r="R763" s="198"/>
      <c r="S763" s="195" t="e">
        <f>N752*N752</f>
        <v>#REF!</v>
      </c>
      <c r="T763" s="195"/>
      <c r="U763" s="195"/>
      <c r="V763" s="13"/>
      <c r="W763" s="13"/>
      <c r="X763" s="13"/>
      <c r="Y763" s="13"/>
      <c r="Z763" s="13"/>
      <c r="AA763" s="13"/>
      <c r="AB763" s="13"/>
      <c r="AC763" s="13"/>
      <c r="AD763" s="13"/>
      <c r="AE763" s="14"/>
      <c r="AF763" s="14"/>
    </row>
    <row r="764" spans="2:32" ht="13.5" hidden="1" customHeight="1">
      <c r="B764" s="13"/>
      <c r="C764" s="2"/>
      <c r="D764" s="13"/>
      <c r="E764" s="13"/>
      <c r="F764" s="13"/>
      <c r="G764" s="13"/>
      <c r="H764" s="13"/>
      <c r="I764" s="113"/>
      <c r="J764" s="113"/>
      <c r="K764" s="113"/>
      <c r="L764" s="113"/>
      <c r="M764" s="113"/>
      <c r="N764" s="207"/>
      <c r="O764" s="176"/>
      <c r="P764" s="176"/>
      <c r="Q764" s="113"/>
      <c r="R764" s="113"/>
      <c r="S764" s="176"/>
      <c r="T764" s="176"/>
      <c r="U764" s="176"/>
      <c r="V764" s="13"/>
      <c r="W764" s="13"/>
      <c r="X764" s="13"/>
      <c r="Y764" s="13"/>
      <c r="Z764" s="13"/>
      <c r="AA764" s="13"/>
      <c r="AB764" s="13"/>
      <c r="AC764" s="13"/>
      <c r="AD764" s="13"/>
      <c r="AE764" s="14"/>
      <c r="AF764" s="14"/>
    </row>
    <row r="765" spans="2:32" ht="13.5" hidden="1" customHeight="1">
      <c r="B765" s="13"/>
      <c r="C765" s="2"/>
      <c r="D765" s="13"/>
      <c r="E765" s="13"/>
      <c r="F765" s="13"/>
      <c r="G765" s="13"/>
      <c r="H765" s="13"/>
      <c r="I765" s="13"/>
      <c r="J765" s="29"/>
      <c r="K765" s="29"/>
      <c r="L765" s="6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4"/>
      <c r="AF765" s="14"/>
    </row>
    <row r="766" spans="2:32" ht="13.5" hidden="1" customHeight="1">
      <c r="B766" s="13"/>
      <c r="C766" s="2"/>
      <c r="D766" s="13"/>
      <c r="E766" s="13"/>
      <c r="F766" s="13"/>
      <c r="G766" s="13"/>
      <c r="H766" s="13"/>
      <c r="I766" s="113" t="s">
        <v>13</v>
      </c>
      <c r="J766" s="113"/>
      <c r="K766" s="113"/>
      <c r="L766" s="113"/>
      <c r="M766" s="173" t="s">
        <v>1</v>
      </c>
      <c r="N766" s="176" t="e">
        <f>SQRT(N763+S763)</f>
        <v>#REF!</v>
      </c>
      <c r="O766" s="176"/>
      <c r="P766" s="176"/>
      <c r="Q766" s="176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4"/>
      <c r="AF766" s="14"/>
    </row>
    <row r="767" spans="2:32" ht="13.5" hidden="1" customHeight="1">
      <c r="B767" s="13"/>
      <c r="C767" s="2"/>
      <c r="D767" s="13"/>
      <c r="E767" s="13"/>
      <c r="F767" s="13"/>
      <c r="G767" s="13"/>
      <c r="H767" s="13"/>
      <c r="I767" s="113"/>
      <c r="J767" s="113"/>
      <c r="K767" s="113"/>
      <c r="L767" s="113"/>
      <c r="M767" s="113"/>
      <c r="N767" s="176"/>
      <c r="O767" s="176"/>
      <c r="P767" s="176"/>
      <c r="Q767" s="176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4"/>
      <c r="AF767" s="14"/>
    </row>
    <row r="768" spans="2:32" ht="13.5" hidden="1" customHeight="1">
      <c r="B768" s="21"/>
      <c r="C768" s="34"/>
      <c r="D768" s="21"/>
      <c r="E768" s="21"/>
      <c r="F768" s="21"/>
      <c r="G768" s="21"/>
      <c r="H768" s="21"/>
      <c r="I768" s="21"/>
      <c r="J768" s="35"/>
      <c r="K768" s="35"/>
      <c r="L768" s="35"/>
      <c r="M768" s="21"/>
      <c r="N768" s="36"/>
      <c r="O768" s="36"/>
      <c r="P768" s="36"/>
      <c r="Q768" s="36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3"/>
      <c r="AF768" s="14"/>
    </row>
    <row r="769" spans="2:32" ht="13.5" hidden="1" customHeight="1">
      <c r="B769" s="13"/>
      <c r="C769" s="2"/>
      <c r="D769" s="13"/>
      <c r="E769" s="13"/>
      <c r="F769" s="13"/>
      <c r="G769" s="13"/>
      <c r="H769" s="13"/>
      <c r="I769" s="13"/>
      <c r="J769" s="29"/>
      <c r="K769" s="29"/>
      <c r="L769" s="29"/>
      <c r="M769" s="13"/>
      <c r="N769" s="17"/>
      <c r="O769" s="17"/>
      <c r="P769" s="17"/>
      <c r="Q769" s="17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4"/>
      <c r="AF769" s="14"/>
    </row>
    <row r="770" spans="2:32" ht="13.5" hidden="1" customHeight="1">
      <c r="B770" s="13"/>
      <c r="C770" s="2"/>
      <c r="D770" s="13"/>
      <c r="E770" s="13"/>
      <c r="F770" s="13"/>
      <c r="G770" s="13"/>
      <c r="H770" s="13"/>
      <c r="I770" s="13"/>
      <c r="J770" s="29"/>
      <c r="K770" s="29"/>
      <c r="L770" s="29"/>
      <c r="M770" s="13"/>
      <c r="N770" s="17"/>
      <c r="O770" s="17"/>
      <c r="P770" s="17"/>
      <c r="Q770" s="17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4"/>
      <c r="AF770" s="14"/>
    </row>
    <row r="771" spans="2:32" s="11" customFormat="1" ht="13.5" hidden="1" customHeight="1">
      <c r="B771" s="9"/>
      <c r="C771" s="3"/>
      <c r="D771" s="9"/>
      <c r="E771" s="9"/>
      <c r="F771" s="9" t="s">
        <v>58</v>
      </c>
      <c r="G771" s="9" t="s">
        <v>106</v>
      </c>
      <c r="H771" s="9"/>
      <c r="I771" s="20"/>
      <c r="J771" s="20"/>
      <c r="K771" s="37"/>
      <c r="L771" s="7"/>
      <c r="M771" s="7"/>
      <c r="N771" s="7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10"/>
      <c r="AF771" s="10"/>
    </row>
    <row r="772" spans="2:32" ht="13.5" hidden="1" customHeight="1">
      <c r="B772" s="13"/>
      <c r="C772" s="2"/>
      <c r="D772" s="13"/>
      <c r="E772" s="13"/>
      <c r="F772" s="13"/>
      <c r="G772" s="13"/>
      <c r="H772" s="13"/>
      <c r="I772" s="18"/>
      <c r="J772" s="18"/>
      <c r="K772" s="38"/>
      <c r="L772" s="6"/>
      <c r="M772" s="6"/>
      <c r="N772" s="6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4"/>
      <c r="AF772" s="14"/>
    </row>
    <row r="773" spans="2:32" ht="13.5" hidden="1" customHeight="1">
      <c r="B773" s="13"/>
      <c r="C773" s="2"/>
      <c r="D773" s="13"/>
      <c r="E773" s="13"/>
      <c r="F773" s="13"/>
      <c r="G773" s="125" t="s">
        <v>91</v>
      </c>
      <c r="H773" s="125"/>
      <c r="I773" s="125"/>
      <c r="J773" s="30" t="s">
        <v>1</v>
      </c>
      <c r="K773" s="125" t="s">
        <v>92</v>
      </c>
      <c r="L773" s="125"/>
      <c r="M773" s="125"/>
      <c r="N773" s="175" t="s">
        <v>8</v>
      </c>
      <c r="O773" s="125"/>
      <c r="P773" s="125" t="s">
        <v>100</v>
      </c>
      <c r="Q773" s="125"/>
      <c r="R773" s="125"/>
      <c r="S773" s="175" t="s">
        <v>8</v>
      </c>
      <c r="T773" s="125"/>
      <c r="U773" s="125" t="s">
        <v>69</v>
      </c>
      <c r="V773" s="125"/>
      <c r="W773" s="30" t="s">
        <v>8</v>
      </c>
      <c r="X773" s="128" t="s">
        <v>13</v>
      </c>
      <c r="Y773" s="128"/>
      <c r="Z773" s="128"/>
      <c r="AA773" s="128"/>
      <c r="AB773" s="13"/>
      <c r="AC773" s="13"/>
      <c r="AD773" s="13"/>
      <c r="AE773" s="14"/>
      <c r="AF773" s="14"/>
    </row>
    <row r="774" spans="2:32" ht="13.5" hidden="1" customHeight="1">
      <c r="B774" s="13"/>
      <c r="C774" s="2"/>
      <c r="D774" s="13"/>
      <c r="E774" s="13"/>
      <c r="F774" s="13"/>
      <c r="G774" s="125" t="s">
        <v>91</v>
      </c>
      <c r="H774" s="125"/>
      <c r="I774" s="125"/>
      <c r="J774" s="30" t="s">
        <v>1</v>
      </c>
      <c r="K774" s="177" t="e">
        <f>#REF!</f>
        <v>#REF!</v>
      </c>
      <c r="L774" s="177"/>
      <c r="M774" s="177"/>
      <c r="N774" s="175" t="s">
        <v>8</v>
      </c>
      <c r="O774" s="125"/>
      <c r="P774" s="177" t="e">
        <f>#REF!</f>
        <v>#REF!</v>
      </c>
      <c r="Q774" s="177"/>
      <c r="R774" s="177"/>
      <c r="S774" s="175" t="s">
        <v>8</v>
      </c>
      <c r="T774" s="125"/>
      <c r="U774" s="177" t="e">
        <f>#REF!</f>
        <v>#REF!</v>
      </c>
      <c r="V774" s="177"/>
      <c r="W774" s="30" t="s">
        <v>8</v>
      </c>
      <c r="X774" s="213" t="e">
        <f>N766</f>
        <v>#REF!</v>
      </c>
      <c r="Y774" s="213"/>
      <c r="Z774" s="213"/>
      <c r="AA774" s="213"/>
      <c r="AB774" s="13"/>
      <c r="AC774" s="13"/>
      <c r="AD774" s="13"/>
      <c r="AE774" s="14"/>
      <c r="AF774" s="14"/>
    </row>
    <row r="775" spans="2:32" ht="13.5" hidden="1" customHeight="1">
      <c r="B775" s="13"/>
      <c r="C775" s="2"/>
      <c r="D775" s="13"/>
      <c r="E775" s="13"/>
      <c r="F775" s="13"/>
      <c r="G775" s="125" t="s">
        <v>91</v>
      </c>
      <c r="H775" s="125"/>
      <c r="I775" s="125"/>
      <c r="J775" s="30" t="s">
        <v>1</v>
      </c>
      <c r="K775" s="177" t="e">
        <f>K774+P774+U774+X774</f>
        <v>#REF!</v>
      </c>
      <c r="L775" s="177"/>
      <c r="M775" s="177"/>
      <c r="N775" s="175"/>
      <c r="O775" s="125"/>
      <c r="P775" s="125"/>
      <c r="Q775" s="125"/>
      <c r="R775" s="125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4"/>
      <c r="AF775" s="14"/>
    </row>
    <row r="776" spans="2:32" ht="13.5" hidden="1" customHeight="1">
      <c r="B776" s="13"/>
      <c r="C776" s="2"/>
      <c r="D776" s="13"/>
      <c r="E776" s="13"/>
      <c r="F776" s="13"/>
      <c r="G776" s="13"/>
      <c r="H776" s="13"/>
      <c r="I776" s="13"/>
      <c r="J776" s="29"/>
      <c r="K776" s="29"/>
      <c r="L776" s="29"/>
      <c r="M776" s="13"/>
      <c r="N776" s="17"/>
      <c r="O776" s="17"/>
      <c r="P776" s="17"/>
      <c r="Q776" s="17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4"/>
      <c r="AF776" s="14"/>
    </row>
    <row r="777" spans="2:32" ht="13.5" hidden="1" customHeight="1">
      <c r="B777" s="13"/>
      <c r="C777" s="2"/>
      <c r="D777" s="13"/>
      <c r="E777" s="13"/>
      <c r="F777" s="13"/>
      <c r="G777" s="13"/>
      <c r="H777" s="13"/>
      <c r="I777" s="13"/>
      <c r="J777" s="29"/>
      <c r="K777" s="29"/>
      <c r="L777" s="29"/>
      <c r="M777" s="13"/>
      <c r="N777" s="17"/>
      <c r="O777" s="17"/>
      <c r="P777" s="17"/>
      <c r="Q777" s="17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4"/>
      <c r="AF777" s="14"/>
    </row>
    <row r="778" spans="2:32" s="11" customFormat="1" ht="13.5" hidden="1" customHeight="1">
      <c r="B778" s="9"/>
      <c r="C778" s="3"/>
      <c r="D778" s="9"/>
      <c r="E778" s="9"/>
      <c r="F778" s="9" t="s">
        <v>59</v>
      </c>
      <c r="G778" s="9" t="s">
        <v>83</v>
      </c>
      <c r="H778" s="9"/>
      <c r="I778" s="9"/>
      <c r="J778" s="28"/>
      <c r="K778" s="28"/>
      <c r="L778" s="7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10"/>
      <c r="AF778" s="10"/>
    </row>
    <row r="779" spans="2:32" ht="13.5" hidden="1" customHeight="1">
      <c r="B779" s="13"/>
      <c r="C779" s="2"/>
      <c r="D779" s="13"/>
      <c r="E779" s="13"/>
      <c r="F779" s="13"/>
      <c r="G779" s="13"/>
      <c r="H779" s="13"/>
      <c r="I779" s="13"/>
      <c r="J779" s="29"/>
      <c r="K779" s="29"/>
      <c r="L779" s="6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4"/>
      <c r="AF779" s="14"/>
    </row>
    <row r="780" spans="2:32" ht="13.5" hidden="1" customHeight="1">
      <c r="B780" s="13"/>
      <c r="C780" s="2"/>
      <c r="D780" s="13"/>
      <c r="E780" s="13"/>
      <c r="F780" s="13"/>
      <c r="G780" s="13"/>
      <c r="H780" s="13"/>
      <c r="I780" s="13"/>
      <c r="J780" s="205" t="s">
        <v>93</v>
      </c>
      <c r="K780" s="205"/>
      <c r="L780" s="173" t="s">
        <v>1</v>
      </c>
      <c r="M780" s="146" t="s">
        <v>72</v>
      </c>
      <c r="N780" s="146"/>
      <c r="O780" s="146"/>
      <c r="P780" s="146"/>
      <c r="Q780" s="146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4"/>
      <c r="AF780" s="14"/>
    </row>
    <row r="781" spans="2:32" ht="13.5" hidden="1" customHeight="1">
      <c r="B781" s="13"/>
      <c r="C781" s="2"/>
      <c r="D781" s="13"/>
      <c r="E781" s="13"/>
      <c r="F781" s="13"/>
      <c r="G781" s="13"/>
      <c r="H781" s="13"/>
      <c r="I781" s="13"/>
      <c r="J781" s="205"/>
      <c r="K781" s="205"/>
      <c r="L781" s="113"/>
      <c r="M781" s="125" t="s">
        <v>70</v>
      </c>
      <c r="N781" s="125"/>
      <c r="O781" s="125"/>
      <c r="P781" s="125"/>
      <c r="Q781" s="12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4"/>
      <c r="AF781" s="14"/>
    </row>
    <row r="782" spans="2:32" ht="13.5" hidden="1" customHeight="1">
      <c r="B782" s="13"/>
      <c r="C782" s="2"/>
      <c r="D782" s="13"/>
      <c r="E782" s="13"/>
      <c r="F782" s="13"/>
      <c r="G782" s="13"/>
      <c r="H782" s="13"/>
      <c r="I782" s="13"/>
      <c r="J782" s="29"/>
      <c r="K782" s="29"/>
      <c r="L782" s="6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4"/>
      <c r="AF782" s="14"/>
    </row>
    <row r="783" spans="2:32" ht="13.5" hidden="1" customHeight="1">
      <c r="B783" s="13"/>
      <c r="C783" s="2"/>
      <c r="D783" s="13"/>
      <c r="E783" s="13"/>
      <c r="F783" s="13"/>
      <c r="G783" s="13"/>
      <c r="H783" s="13"/>
      <c r="I783" s="13"/>
      <c r="J783" s="205" t="s">
        <v>93</v>
      </c>
      <c r="K783" s="205"/>
      <c r="L783" s="173" t="s">
        <v>1</v>
      </c>
      <c r="M783" s="174" t="e">
        <f>#REF!</f>
        <v>#REF!</v>
      </c>
      <c r="N783" s="174"/>
      <c r="O783" s="174"/>
      <c r="P783" s="174"/>
      <c r="Q783" s="174"/>
      <c r="R783" s="174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4"/>
      <c r="AF783" s="14"/>
    </row>
    <row r="784" spans="2:32" ht="13.5" hidden="1" customHeight="1">
      <c r="B784" s="13"/>
      <c r="C784" s="2"/>
      <c r="D784" s="13"/>
      <c r="E784" s="13"/>
      <c r="F784" s="13"/>
      <c r="G784" s="13"/>
      <c r="H784" s="13"/>
      <c r="I784" s="13"/>
      <c r="J784" s="205"/>
      <c r="K784" s="205"/>
      <c r="L784" s="113"/>
      <c r="M784" s="31">
        <v>4</v>
      </c>
      <c r="N784" s="6" t="s">
        <v>73</v>
      </c>
      <c r="O784" s="211">
        <v>800</v>
      </c>
      <c r="P784" s="212"/>
      <c r="Q784" s="212"/>
      <c r="R784" s="212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4"/>
      <c r="AF784" s="14"/>
    </row>
    <row r="785" spans="2:32" ht="13.5" hidden="1" customHeight="1">
      <c r="B785" s="13"/>
      <c r="C785" s="2"/>
      <c r="D785" s="13"/>
      <c r="E785" s="13"/>
      <c r="F785" s="13"/>
      <c r="G785" s="13"/>
      <c r="H785" s="13"/>
      <c r="I785" s="13"/>
      <c r="J785" s="29"/>
      <c r="K785" s="29"/>
      <c r="L785" s="6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4"/>
      <c r="AF785" s="14"/>
    </row>
    <row r="786" spans="2:32" ht="13.5" hidden="1" customHeight="1">
      <c r="B786" s="13"/>
      <c r="C786" s="2"/>
      <c r="D786" s="13"/>
      <c r="E786" s="13"/>
      <c r="F786" s="13"/>
      <c r="G786" s="13"/>
      <c r="H786" s="13"/>
      <c r="I786" s="13"/>
      <c r="J786" s="205" t="s">
        <v>93</v>
      </c>
      <c r="K786" s="205"/>
      <c r="L786" s="173" t="s">
        <v>1</v>
      </c>
      <c r="M786" s="113"/>
      <c r="N786" s="176" t="e">
        <f>M783/M784/O784</f>
        <v>#REF!</v>
      </c>
      <c r="O786" s="176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4"/>
      <c r="AF786" s="14"/>
    </row>
    <row r="787" spans="2:32" ht="13.5" hidden="1" customHeight="1">
      <c r="B787" s="13"/>
      <c r="C787" s="2"/>
      <c r="D787" s="13"/>
      <c r="E787" s="13"/>
      <c r="F787" s="13"/>
      <c r="G787" s="13"/>
      <c r="H787" s="13"/>
      <c r="I787" s="13"/>
      <c r="J787" s="205"/>
      <c r="K787" s="205"/>
      <c r="L787" s="113"/>
      <c r="M787" s="113"/>
      <c r="N787" s="176"/>
      <c r="O787" s="176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4"/>
      <c r="AF787" s="14"/>
    </row>
    <row r="788" spans="2:32" ht="13.5" hidden="1" customHeight="1">
      <c r="B788" s="13"/>
      <c r="C788" s="2"/>
      <c r="D788" s="13"/>
      <c r="E788" s="13"/>
      <c r="F788" s="13"/>
      <c r="G788" s="13"/>
      <c r="H788" s="13"/>
      <c r="I788" s="13"/>
      <c r="J788" s="29"/>
      <c r="K788" s="29"/>
      <c r="L788" s="29"/>
      <c r="M788" s="13"/>
      <c r="N788" s="17"/>
      <c r="O788" s="17"/>
      <c r="P788" s="17"/>
      <c r="Q788" s="17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4"/>
      <c r="AF788" s="14"/>
    </row>
    <row r="789" spans="2:32" ht="13.5" hidden="1" customHeight="1">
      <c r="B789" s="13"/>
      <c r="C789" s="2"/>
      <c r="D789" s="13"/>
      <c r="E789" s="13"/>
      <c r="F789" s="13"/>
      <c r="G789" s="13"/>
      <c r="H789" s="13"/>
      <c r="I789" s="13"/>
      <c r="J789" s="29"/>
      <c r="K789" s="29"/>
      <c r="L789" s="29"/>
      <c r="M789" s="13"/>
      <c r="N789" s="17"/>
      <c r="O789" s="17"/>
      <c r="P789" s="17"/>
      <c r="Q789" s="17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4"/>
      <c r="AF789" s="14"/>
    </row>
    <row r="790" spans="2:32" s="11" customFormat="1" ht="13.5" hidden="1" customHeight="1">
      <c r="B790" s="9"/>
      <c r="C790" s="3"/>
      <c r="D790" s="9"/>
      <c r="E790" s="9"/>
      <c r="F790" s="9" t="s">
        <v>84</v>
      </c>
      <c r="G790" s="185" t="s">
        <v>149</v>
      </c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9"/>
      <c r="W790" s="9"/>
      <c r="X790" s="9"/>
      <c r="Y790" s="9"/>
      <c r="Z790" s="9"/>
      <c r="AA790" s="9"/>
      <c r="AB790" s="9"/>
      <c r="AC790" s="9"/>
      <c r="AD790" s="9"/>
      <c r="AE790" s="10"/>
      <c r="AF790" s="10"/>
    </row>
    <row r="791" spans="2:32" ht="13.5" hidden="1" customHeight="1">
      <c r="B791" s="13"/>
      <c r="C791" s="2"/>
      <c r="D791" s="13"/>
      <c r="E791" s="13"/>
      <c r="F791" s="13"/>
      <c r="G791" s="13"/>
      <c r="H791" s="13"/>
      <c r="I791" s="13"/>
      <c r="J791" s="29"/>
      <c r="K791" s="29"/>
      <c r="L791" s="6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4"/>
      <c r="AF791" s="14"/>
    </row>
    <row r="792" spans="2:32" ht="13.5" hidden="1" customHeight="1">
      <c r="B792" s="13"/>
      <c r="C792" s="2"/>
      <c r="D792" s="13"/>
      <c r="E792" s="13"/>
      <c r="F792" s="13"/>
      <c r="G792" s="13"/>
      <c r="H792" s="13"/>
      <c r="I792" s="13"/>
      <c r="J792" s="113" t="s">
        <v>17</v>
      </c>
      <c r="K792" s="113"/>
      <c r="L792" s="113"/>
      <c r="M792" s="173" t="s">
        <v>1</v>
      </c>
      <c r="N792" s="146" t="s">
        <v>91</v>
      </c>
      <c r="O792" s="146"/>
      <c r="P792" s="146"/>
      <c r="Q792" s="146" t="s">
        <v>73</v>
      </c>
      <c r="R792" s="146"/>
      <c r="S792" s="146" t="s">
        <v>93</v>
      </c>
      <c r="T792" s="146"/>
      <c r="U792" s="146"/>
      <c r="V792" s="13"/>
      <c r="W792" s="13"/>
      <c r="X792" s="13"/>
      <c r="Y792" s="13"/>
      <c r="Z792" s="13"/>
      <c r="AA792" s="13"/>
      <c r="AB792" s="13"/>
      <c r="AC792" s="13"/>
      <c r="AD792" s="13"/>
      <c r="AE792" s="14"/>
      <c r="AF792" s="14"/>
    </row>
    <row r="793" spans="2:32" ht="13.5" hidden="1" customHeight="1">
      <c r="B793" s="13"/>
      <c r="C793" s="2"/>
      <c r="D793" s="13"/>
      <c r="E793" s="13"/>
      <c r="F793" s="13"/>
      <c r="G793" s="13"/>
      <c r="H793" s="13"/>
      <c r="I793" s="13"/>
      <c r="J793" s="113"/>
      <c r="K793" s="113"/>
      <c r="L793" s="113"/>
      <c r="M793" s="113"/>
      <c r="N793" s="125" t="s">
        <v>91</v>
      </c>
      <c r="O793" s="125"/>
      <c r="P793" s="125"/>
      <c r="Q793" s="175" t="s">
        <v>8</v>
      </c>
      <c r="R793" s="125"/>
      <c r="S793" s="125" t="s">
        <v>93</v>
      </c>
      <c r="T793" s="125"/>
      <c r="U793" s="125"/>
      <c r="V793" s="13"/>
      <c r="W793" s="13"/>
      <c r="X793" s="13"/>
      <c r="Y793" s="13"/>
      <c r="Z793" s="13"/>
      <c r="AA793" s="13"/>
      <c r="AB793" s="13"/>
      <c r="AC793" s="13"/>
      <c r="AD793" s="13"/>
      <c r="AE793" s="14"/>
      <c r="AF793" s="14"/>
    </row>
    <row r="794" spans="2:32" ht="13.5" hidden="1" customHeight="1">
      <c r="B794" s="13"/>
      <c r="C794" s="2"/>
      <c r="D794" s="13"/>
      <c r="E794" s="13"/>
      <c r="F794" s="13"/>
      <c r="G794" s="13"/>
      <c r="H794" s="13"/>
      <c r="I794" s="13"/>
      <c r="J794" s="29"/>
      <c r="K794" s="29"/>
      <c r="L794" s="6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4"/>
      <c r="AF794" s="14"/>
    </row>
    <row r="795" spans="2:32" ht="13.5" hidden="1" customHeight="1">
      <c r="B795" s="13"/>
      <c r="C795" s="2"/>
      <c r="D795" s="13"/>
      <c r="E795" s="13"/>
      <c r="F795" s="13"/>
      <c r="G795" s="13"/>
      <c r="H795" s="13"/>
      <c r="I795" s="13"/>
      <c r="J795" s="113" t="s">
        <v>17</v>
      </c>
      <c r="K795" s="113"/>
      <c r="L795" s="113"/>
      <c r="M795" s="173" t="s">
        <v>1</v>
      </c>
      <c r="N795" s="174" t="e">
        <f>K775</f>
        <v>#REF!</v>
      </c>
      <c r="O795" s="174"/>
      <c r="P795" s="174"/>
      <c r="Q795" s="146" t="s">
        <v>73</v>
      </c>
      <c r="R795" s="146"/>
      <c r="S795" s="174" t="e">
        <f>N786</f>
        <v>#REF!</v>
      </c>
      <c r="T795" s="174"/>
      <c r="U795" s="174"/>
      <c r="V795" s="13"/>
      <c r="W795" s="13"/>
      <c r="X795" s="13"/>
      <c r="Y795" s="13"/>
      <c r="Z795" s="13"/>
      <c r="AA795" s="13"/>
      <c r="AB795" s="13"/>
      <c r="AC795" s="13"/>
      <c r="AD795" s="13"/>
      <c r="AE795" s="14"/>
      <c r="AF795" s="14"/>
    </row>
    <row r="796" spans="2:32" ht="13.5" hidden="1" customHeight="1">
      <c r="B796" s="13"/>
      <c r="C796" s="2"/>
      <c r="D796" s="13"/>
      <c r="E796" s="13"/>
      <c r="F796" s="13"/>
      <c r="G796" s="13"/>
      <c r="H796" s="13"/>
      <c r="I796" s="13"/>
      <c r="J796" s="113"/>
      <c r="K796" s="113"/>
      <c r="L796" s="113"/>
      <c r="M796" s="113"/>
      <c r="N796" s="196" t="e">
        <f>K775</f>
        <v>#REF!</v>
      </c>
      <c r="O796" s="196"/>
      <c r="P796" s="196"/>
      <c r="Q796" s="210" t="s">
        <v>8</v>
      </c>
      <c r="R796" s="126"/>
      <c r="S796" s="196" t="e">
        <f>N786</f>
        <v>#REF!</v>
      </c>
      <c r="T796" s="196"/>
      <c r="U796" s="196"/>
      <c r="V796" s="13"/>
      <c r="W796" s="13"/>
      <c r="X796" s="13"/>
      <c r="Y796" s="13"/>
      <c r="Z796" s="13"/>
      <c r="AA796" s="13"/>
      <c r="AB796" s="13"/>
      <c r="AC796" s="13"/>
      <c r="AD796" s="13"/>
      <c r="AE796" s="14"/>
      <c r="AF796" s="14"/>
    </row>
    <row r="797" spans="2:32" ht="13.5" hidden="1" customHeight="1">
      <c r="B797" s="13"/>
      <c r="C797" s="2"/>
      <c r="D797" s="13"/>
      <c r="E797" s="13"/>
      <c r="F797" s="13"/>
      <c r="G797" s="13"/>
      <c r="H797" s="13"/>
      <c r="I797" s="13"/>
      <c r="J797" s="29"/>
      <c r="K797" s="29"/>
      <c r="L797" s="6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4"/>
      <c r="AF797" s="14"/>
    </row>
    <row r="798" spans="2:32" ht="13.5" hidden="1" customHeight="1">
      <c r="B798" s="13"/>
      <c r="C798" s="2"/>
      <c r="D798" s="13"/>
      <c r="E798" s="13"/>
      <c r="F798" s="13"/>
      <c r="G798" s="13"/>
      <c r="H798" s="13"/>
      <c r="I798" s="13"/>
      <c r="J798" s="113" t="s">
        <v>17</v>
      </c>
      <c r="K798" s="113"/>
      <c r="L798" s="113"/>
      <c r="M798" s="173" t="s">
        <v>1</v>
      </c>
      <c r="N798" s="176" t="e">
        <f>(N795*S795)/(N796+S796)</f>
        <v>#REF!</v>
      </c>
      <c r="O798" s="176"/>
      <c r="P798" s="176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4"/>
      <c r="AF798" s="14"/>
    </row>
    <row r="799" spans="2:32" ht="13.5" hidden="1" customHeight="1">
      <c r="B799" s="13"/>
      <c r="C799" s="2"/>
      <c r="D799" s="13"/>
      <c r="E799" s="13"/>
      <c r="F799" s="13"/>
      <c r="G799" s="13"/>
      <c r="H799" s="13"/>
      <c r="I799" s="13"/>
      <c r="J799" s="113"/>
      <c r="K799" s="113"/>
      <c r="L799" s="113"/>
      <c r="M799" s="113"/>
      <c r="N799" s="176"/>
      <c r="O799" s="176"/>
      <c r="P799" s="176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4"/>
      <c r="AF799" s="14"/>
    </row>
    <row r="800" spans="2:32" ht="13.5" hidden="1" customHeight="1">
      <c r="B800" s="13"/>
      <c r="C800" s="2"/>
      <c r="D800" s="13"/>
      <c r="E800" s="13"/>
      <c r="F800" s="13"/>
      <c r="G800" s="13"/>
      <c r="H800" s="13"/>
      <c r="I800" s="13"/>
      <c r="J800" s="17"/>
      <c r="K800" s="17"/>
      <c r="L800" s="17"/>
      <c r="M800" s="17"/>
      <c r="N800" s="17"/>
      <c r="O800" s="17"/>
      <c r="P800" s="17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4"/>
      <c r="AF800" s="14"/>
    </row>
    <row r="801" spans="2:32" ht="13.5" hidden="1" customHeight="1">
      <c r="B801" s="13"/>
      <c r="C801" s="2"/>
      <c r="D801" s="13"/>
      <c r="E801" s="13"/>
      <c r="F801" s="13"/>
      <c r="G801" s="13"/>
      <c r="H801" s="13"/>
      <c r="I801" s="13"/>
      <c r="J801" s="29"/>
      <c r="K801" s="29"/>
      <c r="L801" s="29"/>
      <c r="M801" s="13"/>
      <c r="N801" s="17"/>
      <c r="O801" s="17"/>
      <c r="P801" s="17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4"/>
      <c r="AF801" s="14"/>
    </row>
    <row r="802" spans="2:32" s="11" customFormat="1" ht="13.5" hidden="1" customHeight="1">
      <c r="B802" s="9"/>
      <c r="C802" s="3"/>
      <c r="D802" s="9"/>
      <c r="E802" s="9"/>
      <c r="F802" s="9" t="s">
        <v>85</v>
      </c>
      <c r="G802" s="9" t="s">
        <v>15</v>
      </c>
      <c r="H802" s="9"/>
      <c r="I802" s="9"/>
      <c r="J802" s="28"/>
      <c r="K802" s="28"/>
      <c r="L802" s="28"/>
      <c r="M802" s="9"/>
      <c r="N802" s="16"/>
      <c r="O802" s="16"/>
      <c r="P802" s="16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10"/>
      <c r="AF802" s="10"/>
    </row>
    <row r="803" spans="2:32" ht="13.5" hidden="1" customHeight="1">
      <c r="B803" s="13"/>
      <c r="C803" s="2"/>
      <c r="D803" s="13"/>
      <c r="E803" s="13"/>
      <c r="F803" s="13"/>
      <c r="G803" s="13"/>
      <c r="H803" s="13"/>
      <c r="I803" s="13"/>
      <c r="J803" s="29"/>
      <c r="K803" s="29"/>
      <c r="L803" s="6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4"/>
      <c r="AF803" s="14"/>
    </row>
    <row r="804" spans="2:32" ht="13.5" hidden="1" customHeight="1">
      <c r="B804" s="13"/>
      <c r="C804" s="2"/>
      <c r="D804" s="13"/>
      <c r="E804" s="13"/>
      <c r="F804" s="13"/>
      <c r="G804" s="13"/>
      <c r="H804" s="13"/>
      <c r="I804" s="13"/>
      <c r="J804" s="113" t="s">
        <v>16</v>
      </c>
      <c r="K804" s="113"/>
      <c r="L804" s="113"/>
      <c r="M804" s="173" t="s">
        <v>1</v>
      </c>
      <c r="N804" s="146" t="s">
        <v>74</v>
      </c>
      <c r="O804" s="146"/>
      <c r="P804" s="146"/>
      <c r="Q804" s="146"/>
      <c r="R804" s="146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4"/>
      <c r="AF804" s="14"/>
    </row>
    <row r="805" spans="2:32" ht="13.5" hidden="1" customHeight="1">
      <c r="B805" s="13"/>
      <c r="C805" s="2"/>
      <c r="D805" s="13"/>
      <c r="E805" s="13"/>
      <c r="F805" s="13"/>
      <c r="G805" s="13"/>
      <c r="H805" s="13"/>
      <c r="I805" s="13"/>
      <c r="J805" s="113"/>
      <c r="K805" s="113"/>
      <c r="L805" s="113"/>
      <c r="M805" s="113"/>
      <c r="N805" s="125" t="s">
        <v>17</v>
      </c>
      <c r="O805" s="125"/>
      <c r="P805" s="125"/>
      <c r="Q805" s="125"/>
      <c r="R805" s="125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4"/>
      <c r="AF805" s="14"/>
    </row>
    <row r="806" spans="2:32" ht="13.5" hidden="1" customHeight="1">
      <c r="B806" s="13"/>
      <c r="C806" s="2"/>
      <c r="D806" s="13"/>
      <c r="E806" s="13"/>
      <c r="F806" s="13"/>
      <c r="G806" s="13"/>
      <c r="H806" s="13"/>
      <c r="I806" s="13"/>
      <c r="J806" s="29"/>
      <c r="K806" s="29"/>
      <c r="L806" s="6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4"/>
      <c r="AF806" s="14"/>
    </row>
    <row r="807" spans="2:32" ht="13.5" hidden="1" customHeight="1">
      <c r="B807" s="13"/>
      <c r="C807" s="2"/>
      <c r="D807" s="13"/>
      <c r="E807" s="13"/>
      <c r="F807" s="13"/>
      <c r="G807" s="13"/>
      <c r="H807" s="13"/>
      <c r="I807" s="13"/>
      <c r="J807" s="113" t="s">
        <v>16</v>
      </c>
      <c r="K807" s="113"/>
      <c r="L807" s="113"/>
      <c r="M807" s="13"/>
      <c r="N807" s="174">
        <f>$K$81</f>
        <v>0</v>
      </c>
      <c r="O807" s="174"/>
      <c r="P807" s="174"/>
      <c r="Q807" s="174"/>
      <c r="R807" s="174"/>
      <c r="S807" s="174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4"/>
      <c r="AF807" s="14"/>
    </row>
    <row r="808" spans="2:32" ht="13.5" hidden="1" customHeight="1">
      <c r="B808" s="13"/>
      <c r="C808" s="2"/>
      <c r="D808" s="13"/>
      <c r="E808" s="13"/>
      <c r="F808" s="13"/>
      <c r="G808" s="13"/>
      <c r="H808" s="13"/>
      <c r="I808" s="13"/>
      <c r="J808" s="113"/>
      <c r="K808" s="113"/>
      <c r="L808" s="113"/>
      <c r="M808" s="13"/>
      <c r="N808" s="196" t="e">
        <f>N798</f>
        <v>#REF!</v>
      </c>
      <c r="O808" s="196"/>
      <c r="P808" s="196"/>
      <c r="Q808" s="196"/>
      <c r="R808" s="196"/>
      <c r="S808" s="196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4"/>
      <c r="AF808" s="14"/>
    </row>
    <row r="809" spans="2:32" ht="13.5" hidden="1" customHeight="1">
      <c r="B809" s="13"/>
      <c r="C809" s="2"/>
      <c r="D809" s="13"/>
      <c r="E809" s="13"/>
      <c r="F809" s="13"/>
      <c r="G809" s="13"/>
      <c r="H809" s="13"/>
      <c r="I809" s="13"/>
      <c r="J809" s="29"/>
      <c r="K809" s="29"/>
      <c r="L809" s="6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4"/>
      <c r="AF809" s="14"/>
    </row>
    <row r="810" spans="2:32" ht="13.5" hidden="1" customHeight="1">
      <c r="B810" s="13"/>
      <c r="C810" s="2"/>
      <c r="D810" s="13"/>
      <c r="E810" s="13"/>
      <c r="F810" s="13"/>
      <c r="G810" s="13"/>
      <c r="H810" s="13"/>
      <c r="I810" s="13"/>
      <c r="J810" s="113" t="s">
        <v>16</v>
      </c>
      <c r="K810" s="113"/>
      <c r="L810" s="113"/>
      <c r="M810" s="113" t="s">
        <v>1</v>
      </c>
      <c r="N810" s="113"/>
      <c r="O810" s="176" t="e">
        <f>N807/N808</f>
        <v>#REF!</v>
      </c>
      <c r="P810" s="176"/>
      <c r="Q810" s="176"/>
      <c r="R810" s="176"/>
      <c r="S810" s="13"/>
      <c r="T810" s="113" t="s">
        <v>75</v>
      </c>
      <c r="U810" s="113"/>
      <c r="V810" s="13"/>
      <c r="W810" s="13"/>
      <c r="X810" s="13"/>
      <c r="Y810" s="13"/>
      <c r="Z810" s="13"/>
      <c r="AA810" s="13"/>
      <c r="AB810" s="13"/>
      <c r="AC810" s="13"/>
      <c r="AD810" s="13"/>
      <c r="AE810" s="14"/>
      <c r="AF810" s="14"/>
    </row>
    <row r="811" spans="2:32" ht="13.5" hidden="1" customHeight="1">
      <c r="B811" s="13"/>
      <c r="C811" s="2"/>
      <c r="D811" s="13"/>
      <c r="E811" s="13"/>
      <c r="F811" s="13"/>
      <c r="G811" s="13"/>
      <c r="H811" s="13"/>
      <c r="I811" s="13"/>
      <c r="J811" s="113"/>
      <c r="K811" s="113"/>
      <c r="L811" s="113"/>
      <c r="M811" s="113"/>
      <c r="N811" s="113"/>
      <c r="O811" s="176"/>
      <c r="P811" s="176"/>
      <c r="Q811" s="176"/>
      <c r="R811" s="176"/>
      <c r="S811" s="13"/>
      <c r="T811" s="113"/>
      <c r="U811" s="113"/>
      <c r="V811" s="13"/>
      <c r="W811" s="13"/>
      <c r="X811" s="13"/>
      <c r="Y811" s="13"/>
      <c r="Z811" s="13"/>
      <c r="AA811" s="13"/>
      <c r="AB811" s="13"/>
      <c r="AC811" s="13"/>
      <c r="AD811" s="13"/>
      <c r="AE811" s="14"/>
      <c r="AF811" s="14"/>
    </row>
    <row r="812" spans="2:32" ht="13.5" hidden="1" customHeight="1">
      <c r="B812" s="13"/>
      <c r="C812" s="2"/>
      <c r="D812" s="13"/>
      <c r="E812" s="13"/>
      <c r="F812" s="13"/>
      <c r="G812" s="13"/>
      <c r="H812" s="13"/>
      <c r="I812" s="13"/>
      <c r="J812" s="29"/>
      <c r="K812" s="29"/>
      <c r="L812" s="6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4"/>
      <c r="AF812" s="14"/>
    </row>
    <row r="813" spans="2:32" ht="13.5" hidden="1" customHeight="1">
      <c r="B813" s="13"/>
      <c r="C813" s="2"/>
      <c r="D813" s="13"/>
      <c r="E813" s="13"/>
      <c r="F813" s="13"/>
      <c r="G813" s="13"/>
      <c r="H813" s="13"/>
      <c r="I813" s="13"/>
      <c r="J813" s="29"/>
      <c r="K813" s="29"/>
      <c r="L813" s="6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4"/>
      <c r="AF813" s="14"/>
    </row>
    <row r="814" spans="2:32" ht="13.5" hidden="1" customHeight="1">
      <c r="B814" s="13"/>
      <c r="C814" s="2"/>
      <c r="D814" s="13"/>
      <c r="E814" s="13"/>
      <c r="F814" s="13"/>
      <c r="G814" s="13"/>
      <c r="H814" s="13"/>
      <c r="I814" s="13"/>
      <c r="J814" s="29"/>
      <c r="K814" s="29"/>
      <c r="L814" s="6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4"/>
      <c r="AF814" s="14"/>
    </row>
    <row r="815" spans="2:32" ht="13.5" hidden="1" customHeight="1">
      <c r="B815" s="13"/>
      <c r="C815" s="2"/>
      <c r="D815" s="13"/>
      <c r="E815" s="13"/>
      <c r="F815" s="13"/>
      <c r="G815" s="13"/>
      <c r="H815" s="13"/>
      <c r="I815" s="13"/>
      <c r="J815" s="29"/>
      <c r="K815" s="29"/>
      <c r="L815" s="6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4"/>
      <c r="AF815" s="14"/>
    </row>
    <row r="816" spans="2:32" ht="13.5" hidden="1" customHeight="1">
      <c r="B816" s="21"/>
      <c r="C816" s="34"/>
      <c r="D816" s="21"/>
      <c r="E816" s="21"/>
      <c r="F816" s="21"/>
      <c r="G816" s="21"/>
      <c r="H816" s="21"/>
      <c r="I816" s="21"/>
      <c r="J816" s="35"/>
      <c r="K816" s="35"/>
      <c r="L816" s="22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3"/>
      <c r="AF816" s="14"/>
    </row>
    <row r="817" spans="2:32" ht="13.5" hidden="1" customHeight="1">
      <c r="B817" s="13"/>
      <c r="C817" s="2"/>
      <c r="D817" s="13"/>
      <c r="E817" s="13"/>
      <c r="F817" s="13"/>
      <c r="G817" s="13"/>
      <c r="H817" s="13"/>
      <c r="I817" s="13"/>
      <c r="J817" s="29"/>
      <c r="K817" s="29"/>
      <c r="L817" s="6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4"/>
      <c r="AF817" s="14"/>
    </row>
    <row r="818" spans="2:32" ht="13.5" hidden="1" customHeight="1">
      <c r="B818" s="13"/>
      <c r="C818" s="2"/>
      <c r="D818" s="13"/>
      <c r="E818" s="13"/>
      <c r="F818" s="13"/>
      <c r="G818" s="13"/>
      <c r="H818" s="13"/>
      <c r="I818" s="13"/>
      <c r="J818" s="29"/>
      <c r="K818" s="29"/>
      <c r="L818" s="6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4"/>
      <c r="AF818" s="14"/>
    </row>
    <row r="819" spans="2:32" ht="13.5" hidden="1" customHeight="1">
      <c r="B819" s="13"/>
      <c r="C819" s="2"/>
      <c r="D819" s="13"/>
      <c r="E819" s="13"/>
      <c r="F819" s="13"/>
      <c r="G819" s="13"/>
      <c r="H819" s="13"/>
      <c r="I819" s="13"/>
      <c r="J819" s="29"/>
      <c r="K819" s="29"/>
      <c r="L819" s="6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4"/>
      <c r="AF819" s="14"/>
    </row>
    <row r="820" spans="2:32" s="11" customFormat="1" ht="13.5" hidden="1" customHeight="1">
      <c r="B820" s="9"/>
      <c r="C820" s="3"/>
      <c r="D820" s="9"/>
      <c r="E820" s="9"/>
      <c r="F820" s="9" t="s">
        <v>86</v>
      </c>
      <c r="G820" s="9" t="s">
        <v>65</v>
      </c>
      <c r="H820" s="9"/>
      <c r="I820" s="9"/>
      <c r="J820" s="28"/>
      <c r="K820" s="28"/>
      <c r="L820" s="7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10"/>
      <c r="AF820" s="10"/>
    </row>
    <row r="821" spans="2:32" s="11" customFormat="1" ht="13.5" hidden="1" customHeight="1">
      <c r="B821" s="9"/>
      <c r="C821" s="3"/>
      <c r="D821" s="9"/>
      <c r="E821" s="9"/>
      <c r="F821" s="9"/>
      <c r="G821" s="9" t="s">
        <v>15</v>
      </c>
      <c r="H821" s="9"/>
      <c r="I821" s="9"/>
      <c r="J821" s="28"/>
      <c r="K821" s="28"/>
      <c r="L821" s="7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10"/>
      <c r="AF821" s="10"/>
    </row>
    <row r="822" spans="2:32" ht="13.5" hidden="1" customHeight="1">
      <c r="B822" s="13"/>
      <c r="C822" s="2"/>
      <c r="D822" s="13"/>
      <c r="E822" s="13"/>
      <c r="F822" s="13"/>
      <c r="G822" s="13"/>
      <c r="H822" s="13"/>
      <c r="I822" s="13"/>
      <c r="J822" s="29"/>
      <c r="K822" s="29"/>
      <c r="L822" s="6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4"/>
      <c r="AF822" s="14"/>
    </row>
    <row r="823" spans="2:32" ht="13.5" hidden="1" customHeight="1">
      <c r="B823" s="13"/>
      <c r="C823" s="2"/>
      <c r="D823" s="13"/>
      <c r="E823" s="13"/>
      <c r="F823" s="13"/>
      <c r="G823" s="13"/>
      <c r="H823" s="13"/>
      <c r="I823" s="13"/>
      <c r="J823" s="113" t="s">
        <v>18</v>
      </c>
      <c r="K823" s="113"/>
      <c r="L823" s="113"/>
      <c r="M823" s="173" t="s">
        <v>1</v>
      </c>
      <c r="N823" s="113" t="s">
        <v>16</v>
      </c>
      <c r="O823" s="113"/>
      <c r="P823" s="113"/>
      <c r="Q823" s="173" t="s">
        <v>73</v>
      </c>
      <c r="R823" s="173"/>
      <c r="S823" s="113">
        <v>1.25</v>
      </c>
      <c r="T823" s="113"/>
      <c r="U823" s="113"/>
      <c r="V823" s="13"/>
      <c r="W823" s="13"/>
      <c r="X823" s="13"/>
      <c r="Y823" s="13"/>
      <c r="Z823" s="13"/>
      <c r="AA823" s="13"/>
      <c r="AB823" s="13"/>
      <c r="AC823" s="13"/>
      <c r="AD823" s="13"/>
      <c r="AE823" s="14"/>
      <c r="AF823" s="14"/>
    </row>
    <row r="824" spans="2:32" ht="13.5" hidden="1" customHeight="1">
      <c r="B824" s="13"/>
      <c r="C824" s="2"/>
      <c r="D824" s="13"/>
      <c r="E824" s="13"/>
      <c r="F824" s="13"/>
      <c r="G824" s="13"/>
      <c r="H824" s="13"/>
      <c r="I824" s="13"/>
      <c r="J824" s="113"/>
      <c r="K824" s="113"/>
      <c r="L824" s="113"/>
      <c r="M824" s="113"/>
      <c r="N824" s="113"/>
      <c r="O824" s="113"/>
      <c r="P824" s="113"/>
      <c r="Q824" s="173"/>
      <c r="R824" s="173"/>
      <c r="S824" s="113"/>
      <c r="T824" s="113"/>
      <c r="U824" s="113"/>
      <c r="V824" s="13"/>
      <c r="W824" s="13"/>
      <c r="X824" s="13"/>
      <c r="Y824" s="13"/>
      <c r="Z824" s="13"/>
      <c r="AA824" s="13"/>
      <c r="AB824" s="13"/>
      <c r="AC824" s="13"/>
      <c r="AD824" s="13"/>
      <c r="AE824" s="14"/>
      <c r="AF824" s="14"/>
    </row>
    <row r="825" spans="2:32" ht="13.5" hidden="1" customHeight="1">
      <c r="B825" s="13"/>
      <c r="C825" s="2"/>
      <c r="D825" s="13"/>
      <c r="E825" s="13"/>
      <c r="F825" s="9"/>
      <c r="G825" s="13"/>
      <c r="H825" s="13"/>
      <c r="I825" s="13"/>
      <c r="J825" s="29"/>
      <c r="K825" s="29"/>
      <c r="L825" s="6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4"/>
      <c r="AF825" s="14"/>
    </row>
    <row r="826" spans="2:32" ht="13.5" hidden="1" customHeight="1">
      <c r="B826" s="13"/>
      <c r="C826" s="2"/>
      <c r="D826" s="13"/>
      <c r="E826" s="13"/>
      <c r="F826" s="13"/>
      <c r="G826" s="13"/>
      <c r="H826" s="13"/>
      <c r="I826" s="13"/>
      <c r="J826" s="113" t="s">
        <v>18</v>
      </c>
      <c r="K826" s="113"/>
      <c r="L826" s="113"/>
      <c r="M826" s="173" t="s">
        <v>1</v>
      </c>
      <c r="N826" s="176" t="e">
        <f>O809+O810</f>
        <v>#REF!</v>
      </c>
      <c r="O826" s="176"/>
      <c r="P826" s="176"/>
      <c r="Q826" s="173" t="s">
        <v>73</v>
      </c>
      <c r="R826" s="173"/>
      <c r="S826" s="113">
        <v>1.25</v>
      </c>
      <c r="T826" s="113"/>
      <c r="U826" s="113"/>
      <c r="V826" s="13"/>
      <c r="W826" s="13"/>
      <c r="X826" s="13"/>
      <c r="Y826" s="13"/>
      <c r="Z826" s="13"/>
      <c r="AA826" s="13"/>
      <c r="AB826" s="13"/>
      <c r="AC826" s="13"/>
      <c r="AD826" s="13"/>
      <c r="AE826" s="14"/>
      <c r="AF826" s="14"/>
    </row>
    <row r="827" spans="2:32" ht="13.5" hidden="1" customHeight="1">
      <c r="B827" s="13"/>
      <c r="C827" s="2"/>
      <c r="D827" s="13"/>
      <c r="E827" s="13"/>
      <c r="F827" s="13"/>
      <c r="G827" s="13"/>
      <c r="H827" s="13"/>
      <c r="I827" s="13"/>
      <c r="J827" s="113"/>
      <c r="K827" s="113"/>
      <c r="L827" s="113"/>
      <c r="M827" s="113"/>
      <c r="N827" s="176"/>
      <c r="O827" s="176"/>
      <c r="P827" s="176"/>
      <c r="Q827" s="173"/>
      <c r="R827" s="173"/>
      <c r="S827" s="113"/>
      <c r="T827" s="113"/>
      <c r="U827" s="113"/>
      <c r="V827" s="13"/>
      <c r="W827" s="13"/>
      <c r="X827" s="13"/>
      <c r="Y827" s="13"/>
      <c r="Z827" s="13"/>
      <c r="AA827" s="13"/>
      <c r="AB827" s="13"/>
      <c r="AC827" s="13"/>
      <c r="AD827" s="13"/>
      <c r="AE827" s="14"/>
      <c r="AF827" s="14"/>
    </row>
    <row r="828" spans="2:32" ht="13.5" hidden="1" customHeight="1">
      <c r="B828" s="13"/>
      <c r="C828" s="2"/>
      <c r="D828" s="13"/>
      <c r="E828" s="13"/>
      <c r="F828" s="13"/>
      <c r="G828" s="13"/>
      <c r="H828" s="13"/>
      <c r="I828" s="13"/>
      <c r="J828" s="29"/>
      <c r="K828" s="29"/>
      <c r="L828" s="6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4"/>
      <c r="AF828" s="14"/>
    </row>
    <row r="829" spans="2:32" ht="13.5" hidden="1" customHeight="1">
      <c r="B829" s="13"/>
      <c r="C829" s="2"/>
      <c r="D829" s="13"/>
      <c r="E829" s="13"/>
      <c r="F829" s="13"/>
      <c r="G829" s="13"/>
      <c r="H829" s="13"/>
      <c r="I829" s="13"/>
      <c r="J829" s="113" t="s">
        <v>18</v>
      </c>
      <c r="K829" s="113"/>
      <c r="L829" s="113"/>
      <c r="M829" s="173" t="s">
        <v>1</v>
      </c>
      <c r="N829" s="13"/>
      <c r="O829" s="176" t="e">
        <f>N826*S826</f>
        <v>#REF!</v>
      </c>
      <c r="P829" s="176"/>
      <c r="Q829" s="176"/>
      <c r="R829" s="176"/>
      <c r="S829" s="13"/>
      <c r="T829" s="113" t="s">
        <v>75</v>
      </c>
      <c r="U829" s="113"/>
      <c r="V829" s="13"/>
      <c r="W829" s="13"/>
      <c r="X829" s="13"/>
      <c r="Y829" s="13"/>
      <c r="Z829" s="13"/>
      <c r="AA829" s="13"/>
      <c r="AB829" s="13"/>
      <c r="AC829" s="13"/>
      <c r="AD829" s="13"/>
      <c r="AE829" s="14"/>
      <c r="AF829" s="14"/>
    </row>
    <row r="830" spans="2:32" ht="13.5" hidden="1" customHeight="1">
      <c r="B830" s="13"/>
      <c r="C830" s="2"/>
      <c r="D830" s="13"/>
      <c r="E830" s="13"/>
      <c r="F830" s="13"/>
      <c r="G830" s="13"/>
      <c r="H830" s="13"/>
      <c r="I830" s="13"/>
      <c r="J830" s="113"/>
      <c r="K830" s="113"/>
      <c r="L830" s="113"/>
      <c r="M830" s="113"/>
      <c r="N830" s="13"/>
      <c r="O830" s="176"/>
      <c r="P830" s="176"/>
      <c r="Q830" s="176"/>
      <c r="R830" s="176"/>
      <c r="S830" s="13"/>
      <c r="T830" s="113"/>
      <c r="U830" s="113"/>
      <c r="V830" s="13"/>
      <c r="W830" s="13"/>
      <c r="X830" s="13"/>
      <c r="Y830" s="13"/>
      <c r="Z830" s="13"/>
      <c r="AA830" s="13"/>
      <c r="AB830" s="13"/>
      <c r="AC830" s="13"/>
      <c r="AD830" s="13"/>
      <c r="AE830" s="14"/>
      <c r="AF830" s="14"/>
    </row>
    <row r="831" spans="2:32" ht="13.5" hidden="1" customHeight="1">
      <c r="B831" s="13"/>
      <c r="C831" s="2"/>
      <c r="D831" s="13"/>
      <c r="E831" s="13"/>
      <c r="F831" s="13"/>
      <c r="G831" s="13"/>
      <c r="H831" s="13"/>
      <c r="I831" s="13"/>
      <c r="J831" s="29"/>
      <c r="K831" s="29"/>
      <c r="L831" s="6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4"/>
      <c r="AF831" s="14"/>
    </row>
    <row r="832" spans="2:32" ht="13.5" hidden="1" customHeight="1">
      <c r="B832" s="13"/>
      <c r="C832" s="2"/>
      <c r="D832" s="13"/>
      <c r="E832" s="13"/>
      <c r="F832" s="13"/>
      <c r="G832" s="13"/>
      <c r="H832" s="13"/>
      <c r="I832" s="13"/>
      <c r="J832" s="29"/>
      <c r="K832" s="29"/>
      <c r="L832" s="6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4"/>
      <c r="AF832" s="14"/>
    </row>
    <row r="833" spans="2:32" ht="13.5" hidden="1" customHeight="1">
      <c r="B833" s="13"/>
      <c r="C833" s="2"/>
      <c r="D833" s="13"/>
      <c r="E833" s="13"/>
      <c r="F833" s="13"/>
      <c r="G833" s="13"/>
      <c r="H833" s="13"/>
      <c r="I833" s="13"/>
      <c r="J833" s="29"/>
      <c r="K833" s="29"/>
      <c r="L833" s="6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4"/>
      <c r="AF833" s="14"/>
    </row>
    <row r="834" spans="2:32" s="11" customFormat="1" ht="13.5" hidden="1" customHeight="1">
      <c r="B834" s="9"/>
      <c r="C834" s="3"/>
      <c r="D834" s="9"/>
      <c r="E834" s="9" t="s">
        <v>101</v>
      </c>
      <c r="F834" s="9"/>
      <c r="G834" s="9"/>
      <c r="H834" s="9"/>
      <c r="I834" s="9"/>
      <c r="J834" s="28"/>
      <c r="K834" s="28"/>
      <c r="L834" s="7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10"/>
      <c r="AF834" s="10"/>
    </row>
    <row r="835" spans="2:32" ht="13.5" hidden="1" customHeight="1">
      <c r="B835" s="13"/>
      <c r="C835" s="2"/>
      <c r="D835" s="13"/>
      <c r="E835" s="13"/>
      <c r="F835" s="13"/>
      <c r="G835" s="13"/>
      <c r="H835" s="13"/>
      <c r="I835" s="13"/>
      <c r="J835" s="29"/>
      <c r="K835" s="29"/>
      <c r="L835" s="6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4"/>
      <c r="AF835" s="14"/>
    </row>
    <row r="836" spans="2:32" ht="13.5" hidden="1" customHeight="1">
      <c r="B836" s="13"/>
      <c r="C836" s="2"/>
      <c r="D836" s="13"/>
      <c r="E836" s="13"/>
      <c r="F836" s="13"/>
      <c r="G836" s="13"/>
      <c r="H836" s="13"/>
      <c r="I836" s="13"/>
      <c r="J836" s="29"/>
      <c r="K836" s="29"/>
      <c r="L836" s="6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4"/>
      <c r="AF836" s="14"/>
    </row>
    <row r="837" spans="2:32" ht="13.5" hidden="1" customHeight="1">
      <c r="B837" s="13"/>
      <c r="C837" s="2"/>
      <c r="D837" s="13"/>
      <c r="E837" s="13"/>
      <c r="F837" s="13"/>
      <c r="G837" s="13"/>
      <c r="H837" s="13"/>
      <c r="I837" s="13"/>
      <c r="J837" s="29"/>
      <c r="K837" s="29"/>
      <c r="L837" s="6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4"/>
      <c r="AF837" s="14"/>
    </row>
    <row r="838" spans="2:32" ht="13.5" hidden="1" customHeight="1">
      <c r="B838" s="13"/>
      <c r="C838" s="2"/>
      <c r="D838" s="13"/>
      <c r="E838" s="13"/>
      <c r="F838" s="13"/>
      <c r="G838" s="13"/>
      <c r="H838" s="13"/>
      <c r="I838" s="13"/>
      <c r="J838" s="29"/>
      <c r="K838" s="29"/>
      <c r="L838" s="6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4"/>
      <c r="AF838" s="14"/>
    </row>
    <row r="839" spans="2:32" ht="13.5" hidden="1" customHeight="1">
      <c r="B839" s="13"/>
      <c r="C839" s="2"/>
      <c r="D839" s="13"/>
      <c r="E839" s="13"/>
      <c r="F839" s="13"/>
      <c r="G839" s="13"/>
      <c r="H839" s="13"/>
      <c r="I839" s="13"/>
      <c r="J839" s="29"/>
      <c r="K839" s="29"/>
      <c r="L839" s="6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4"/>
      <c r="AF839" s="14"/>
    </row>
    <row r="840" spans="2:32" ht="13.5" hidden="1" customHeight="1">
      <c r="B840" s="13"/>
      <c r="C840" s="2"/>
      <c r="D840" s="13"/>
      <c r="E840" s="13"/>
      <c r="F840" s="13"/>
      <c r="G840" s="13"/>
      <c r="H840" s="13"/>
      <c r="I840" s="13"/>
      <c r="J840" s="29"/>
      <c r="K840" s="29"/>
      <c r="L840" s="6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4"/>
      <c r="AF840" s="14"/>
    </row>
    <row r="841" spans="2:32" ht="13.5" hidden="1" customHeight="1">
      <c r="B841" s="13"/>
      <c r="C841" s="2"/>
      <c r="D841" s="13"/>
      <c r="E841" s="13"/>
      <c r="F841" s="13"/>
      <c r="G841" s="13"/>
      <c r="H841" s="13"/>
      <c r="I841" s="13"/>
      <c r="J841" s="29"/>
      <c r="K841" s="29"/>
      <c r="L841" s="6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4"/>
      <c r="AF841" s="14"/>
    </row>
    <row r="842" spans="2:32" ht="13.5" hidden="1" customHeight="1">
      <c r="B842" s="13"/>
      <c r="C842" s="2"/>
      <c r="D842" s="13"/>
      <c r="E842" s="13"/>
      <c r="F842" s="13"/>
      <c r="G842" s="13"/>
      <c r="H842" s="13"/>
      <c r="I842" s="13"/>
      <c r="J842" s="29"/>
      <c r="K842" s="29"/>
      <c r="L842" s="6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4"/>
      <c r="AF842" s="14"/>
    </row>
    <row r="843" spans="2:32" ht="13.5" hidden="1" customHeight="1">
      <c r="B843" s="13"/>
      <c r="C843" s="2"/>
      <c r="D843" s="13"/>
      <c r="E843" s="13"/>
      <c r="F843" s="13"/>
      <c r="G843" s="13"/>
      <c r="H843" s="13"/>
      <c r="I843" s="13"/>
      <c r="J843" s="29"/>
      <c r="K843" s="29"/>
      <c r="L843" s="6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4"/>
      <c r="AF843" s="14"/>
    </row>
    <row r="844" spans="2:32" ht="13.5" hidden="1" customHeight="1">
      <c r="B844" s="13"/>
      <c r="C844" s="2"/>
      <c r="D844" s="13"/>
      <c r="E844" s="13"/>
      <c r="F844" s="13"/>
      <c r="G844" s="13"/>
      <c r="H844" s="13"/>
      <c r="I844" s="13"/>
      <c r="J844" s="29"/>
      <c r="K844" s="29"/>
      <c r="L844" s="6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4"/>
      <c r="AF844" s="14"/>
    </row>
    <row r="845" spans="2:32" ht="13.5" hidden="1" customHeight="1">
      <c r="B845" s="13"/>
      <c r="C845" s="2"/>
      <c r="D845" s="13"/>
      <c r="E845" s="13"/>
      <c r="F845" s="13"/>
      <c r="G845" s="13"/>
      <c r="H845" s="13"/>
      <c r="I845" s="13"/>
      <c r="J845" s="29"/>
      <c r="K845" s="29"/>
      <c r="L845" s="6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4"/>
      <c r="AF845" s="14"/>
    </row>
    <row r="846" spans="2:32" ht="13.5" hidden="1" customHeight="1">
      <c r="B846" s="13"/>
      <c r="C846" s="2"/>
      <c r="D846" s="13"/>
      <c r="E846" s="13"/>
      <c r="F846" s="13"/>
      <c r="G846" s="13"/>
      <c r="H846" s="13"/>
      <c r="I846" s="13"/>
      <c r="J846" s="29"/>
      <c r="K846" s="29"/>
      <c r="L846" s="6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4"/>
      <c r="AF846" s="14"/>
    </row>
    <row r="847" spans="2:32" ht="13.5" hidden="1" customHeight="1">
      <c r="B847" s="13"/>
      <c r="C847" s="2"/>
      <c r="D847" s="13"/>
      <c r="E847" s="13"/>
      <c r="F847" s="13"/>
      <c r="G847" s="13"/>
      <c r="H847" s="13"/>
      <c r="I847" s="13"/>
      <c r="J847" s="29"/>
      <c r="K847" s="29"/>
      <c r="L847" s="6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4"/>
      <c r="AF847" s="14"/>
    </row>
    <row r="848" spans="2:32" ht="13.5" hidden="1" customHeight="1">
      <c r="B848" s="13"/>
      <c r="C848" s="2"/>
      <c r="D848" s="13"/>
      <c r="E848" s="13"/>
      <c r="F848" s="13"/>
      <c r="G848" s="13"/>
      <c r="H848" s="13"/>
      <c r="I848" s="13"/>
      <c r="J848" s="29"/>
      <c r="K848" s="29"/>
      <c r="L848" s="6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4"/>
      <c r="AF848" s="14"/>
    </row>
    <row r="849" spans="2:32" ht="13.5" hidden="1" customHeight="1">
      <c r="B849" s="13"/>
      <c r="C849" s="2"/>
      <c r="D849" s="13"/>
      <c r="E849" s="13"/>
      <c r="F849" s="13"/>
      <c r="G849" s="13"/>
      <c r="H849" s="13"/>
      <c r="I849" s="13"/>
      <c r="J849" s="29"/>
      <c r="K849" s="29"/>
      <c r="L849" s="6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4"/>
      <c r="AF849" s="14"/>
    </row>
    <row r="850" spans="2:32" ht="13.5" hidden="1" customHeight="1">
      <c r="B850" s="13"/>
      <c r="C850" s="2"/>
      <c r="D850" s="13"/>
      <c r="E850" s="13"/>
      <c r="F850" s="13"/>
      <c r="G850" s="13"/>
      <c r="H850" s="13"/>
      <c r="I850" s="13"/>
      <c r="J850" s="29"/>
      <c r="K850" s="29"/>
      <c r="L850" s="6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4"/>
      <c r="AF850" s="14"/>
    </row>
    <row r="851" spans="2:32" ht="13.5" hidden="1" customHeight="1">
      <c r="B851" s="13"/>
      <c r="C851" s="2"/>
      <c r="D851" s="13"/>
      <c r="E851" s="13"/>
      <c r="F851" s="13"/>
      <c r="G851" s="13"/>
      <c r="H851" s="13"/>
      <c r="I851" s="13"/>
      <c r="J851" s="29"/>
      <c r="K851" s="29"/>
      <c r="L851" s="6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4"/>
      <c r="AF851" s="14"/>
    </row>
    <row r="852" spans="2:32" ht="13.5" hidden="1" customHeight="1">
      <c r="B852" s="13"/>
      <c r="C852" s="2"/>
      <c r="D852" s="13"/>
      <c r="E852" s="13"/>
      <c r="F852" s="13"/>
      <c r="G852" s="13"/>
      <c r="H852" s="13"/>
      <c r="I852" s="13"/>
      <c r="J852" s="29"/>
      <c r="K852" s="29"/>
      <c r="L852" s="6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4"/>
      <c r="AF852" s="14"/>
    </row>
    <row r="853" spans="2:32" ht="13.5" hidden="1" customHeight="1">
      <c r="B853" s="13"/>
      <c r="C853" s="2"/>
      <c r="D853" s="13"/>
      <c r="E853" s="13"/>
      <c r="F853" s="13"/>
      <c r="G853" s="13"/>
      <c r="H853" s="13"/>
      <c r="I853" s="13"/>
      <c r="J853" s="29"/>
      <c r="K853" s="29"/>
      <c r="L853" s="6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4"/>
      <c r="AF853" s="14"/>
    </row>
    <row r="854" spans="2:32" ht="13.5" hidden="1" customHeight="1">
      <c r="B854" s="13"/>
      <c r="C854" s="2"/>
      <c r="D854" s="13"/>
      <c r="E854" s="13"/>
      <c r="F854" s="13"/>
      <c r="G854" s="13"/>
      <c r="H854" s="13"/>
      <c r="I854" s="13"/>
      <c r="J854" s="29"/>
      <c r="K854" s="29"/>
      <c r="L854" s="6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4"/>
      <c r="AF854" s="14"/>
    </row>
    <row r="855" spans="2:32" ht="13.5" hidden="1" customHeight="1">
      <c r="B855" s="13"/>
      <c r="C855" s="2"/>
      <c r="D855" s="13"/>
      <c r="E855" s="13"/>
      <c r="F855" s="13"/>
      <c r="G855" s="13"/>
      <c r="H855" s="13"/>
      <c r="I855" s="13"/>
      <c r="J855" s="29"/>
      <c r="K855" s="29"/>
      <c r="L855" s="6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4"/>
      <c r="AF855" s="14"/>
    </row>
    <row r="856" spans="2:32" ht="13.5" hidden="1" customHeight="1">
      <c r="B856" s="13"/>
      <c r="C856" s="2"/>
      <c r="D856" s="13"/>
      <c r="E856" s="13"/>
      <c r="F856" s="13"/>
      <c r="G856" s="13"/>
      <c r="H856" s="13"/>
      <c r="I856" s="13"/>
      <c r="J856" s="29"/>
      <c r="K856" s="29"/>
      <c r="L856" s="6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4"/>
      <c r="AF856" s="14"/>
    </row>
    <row r="857" spans="2:32" ht="13.5" hidden="1" customHeight="1">
      <c r="B857" s="13"/>
      <c r="C857" s="2"/>
      <c r="D857" s="13"/>
      <c r="E857" s="13"/>
      <c r="F857" s="13"/>
      <c r="G857" s="13"/>
      <c r="H857" s="13"/>
      <c r="I857" s="13"/>
      <c r="J857" s="29"/>
      <c r="K857" s="29"/>
      <c r="L857" s="6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4"/>
      <c r="AF857" s="14"/>
    </row>
    <row r="858" spans="2:32" ht="13.5" hidden="1" customHeight="1">
      <c r="B858" s="13"/>
      <c r="C858" s="2"/>
      <c r="D858" s="13"/>
      <c r="E858" s="13"/>
      <c r="F858" s="13"/>
      <c r="G858" s="13"/>
      <c r="H858" s="13"/>
      <c r="I858" s="13"/>
      <c r="J858" s="29"/>
      <c r="K858" s="29"/>
      <c r="L858" s="6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4"/>
      <c r="AF858" s="14"/>
    </row>
    <row r="859" spans="2:32" ht="13.5" hidden="1" customHeight="1">
      <c r="B859" s="13"/>
      <c r="C859" s="2"/>
      <c r="D859" s="13"/>
      <c r="E859" s="13"/>
      <c r="F859" s="13"/>
      <c r="G859" s="13"/>
      <c r="H859" s="13"/>
      <c r="I859" s="13"/>
      <c r="J859" s="29"/>
      <c r="K859" s="29"/>
      <c r="L859" s="6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4"/>
      <c r="AF859" s="14"/>
    </row>
    <row r="860" spans="2:32" ht="13.5" hidden="1" customHeight="1">
      <c r="B860" s="13"/>
      <c r="C860" s="2"/>
      <c r="D860" s="13"/>
      <c r="E860" s="13"/>
      <c r="F860" s="13"/>
      <c r="G860" s="13"/>
      <c r="H860" s="13"/>
      <c r="I860" s="13"/>
      <c r="J860" s="29"/>
      <c r="K860" s="29"/>
      <c r="L860" s="6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4"/>
      <c r="AF860" s="14"/>
    </row>
    <row r="861" spans="2:32" ht="13.5" hidden="1" customHeight="1">
      <c r="B861" s="13"/>
      <c r="C861" s="2"/>
      <c r="D861" s="13"/>
      <c r="E861" s="13"/>
      <c r="F861" s="13"/>
      <c r="G861" s="13"/>
      <c r="H861" s="13"/>
      <c r="I861" s="13"/>
      <c r="J861" s="29"/>
      <c r="K861" s="29"/>
      <c r="L861" s="6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4"/>
      <c r="AF861" s="14"/>
    </row>
    <row r="862" spans="2:32" ht="13.5" hidden="1" customHeight="1">
      <c r="B862" s="13"/>
      <c r="C862" s="2"/>
      <c r="D862" s="13"/>
      <c r="E862" s="13"/>
      <c r="F862" s="13"/>
      <c r="G862" s="13"/>
      <c r="H862" s="13"/>
      <c r="I862" s="13"/>
      <c r="J862" s="29"/>
      <c r="K862" s="29"/>
      <c r="L862" s="6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4"/>
      <c r="AF862" s="14"/>
    </row>
    <row r="863" spans="2:32" ht="13.5" hidden="1" customHeight="1">
      <c r="B863" s="13"/>
      <c r="C863" s="2"/>
      <c r="D863" s="13"/>
      <c r="E863" s="13"/>
      <c r="F863" s="13"/>
      <c r="G863" s="13"/>
      <c r="H863" s="13"/>
      <c r="I863" s="13"/>
      <c r="J863" s="29"/>
      <c r="K863" s="29"/>
      <c r="L863" s="6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4"/>
      <c r="AF863" s="14"/>
    </row>
    <row r="864" spans="2:32" ht="13.5" hidden="1" customHeight="1">
      <c r="B864" s="21"/>
      <c r="C864" s="34"/>
      <c r="D864" s="21"/>
      <c r="E864" s="21"/>
      <c r="F864" s="21"/>
      <c r="G864" s="21"/>
      <c r="H864" s="21"/>
      <c r="I864" s="21"/>
      <c r="J864" s="35"/>
      <c r="K864" s="35"/>
      <c r="L864" s="22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3"/>
      <c r="AF864" s="14"/>
    </row>
    <row r="865" spans="2:32" ht="13.5" hidden="1" customHeight="1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4"/>
      <c r="AF865" s="14"/>
    </row>
    <row r="866" spans="2:32" s="11" customFormat="1" ht="13.5" hidden="1" customHeight="1">
      <c r="B866" s="9"/>
      <c r="C866" s="3"/>
      <c r="D866" s="9"/>
      <c r="E866" s="9" t="s">
        <v>87</v>
      </c>
      <c r="F866" s="9"/>
      <c r="G866" s="9"/>
      <c r="H866" s="9"/>
      <c r="I866" s="9"/>
      <c r="J866" s="28"/>
      <c r="K866" s="28"/>
      <c r="L866" s="28"/>
      <c r="M866" s="9"/>
      <c r="N866" s="16"/>
      <c r="O866" s="16"/>
      <c r="P866" s="16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10"/>
      <c r="AF866" s="10"/>
    </row>
    <row r="867" spans="2:32" ht="13.5" hidden="1" customHeight="1">
      <c r="B867" s="13"/>
      <c r="C867" s="2"/>
      <c r="D867" s="13"/>
      <c r="E867" s="13"/>
      <c r="F867" s="13"/>
      <c r="G867" s="13"/>
      <c r="H867" s="13"/>
      <c r="I867" s="13"/>
      <c r="J867" s="29"/>
      <c r="K867" s="29"/>
      <c r="L867" s="29"/>
      <c r="M867" s="13"/>
      <c r="N867" s="17"/>
      <c r="O867" s="17"/>
      <c r="P867" s="17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4"/>
      <c r="AF867" s="14"/>
    </row>
    <row r="868" spans="2:32" ht="13.5" hidden="1" customHeight="1">
      <c r="B868" s="13"/>
      <c r="C868" s="2"/>
      <c r="D868" s="13"/>
      <c r="E868" s="13"/>
      <c r="F868" s="13"/>
      <c r="G868" s="13"/>
      <c r="H868" s="13"/>
      <c r="I868" s="13" t="s">
        <v>64</v>
      </c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4"/>
      <c r="AF868" s="14"/>
    </row>
    <row r="869" spans="2:32" ht="13.5" hidden="1" customHeight="1">
      <c r="B869" s="13"/>
      <c r="C869" s="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4"/>
      <c r="AF869" s="14"/>
    </row>
    <row r="870" spans="2:32" ht="13.5" hidden="1" customHeight="1">
      <c r="B870" s="13"/>
      <c r="C870" s="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4"/>
      <c r="AF870" s="14"/>
    </row>
    <row r="871" spans="2:32" ht="13.5" hidden="1" customHeight="1">
      <c r="B871" s="13"/>
      <c r="C871" s="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4"/>
      <c r="AF871" s="14"/>
    </row>
    <row r="872" spans="2:32" ht="13.5" hidden="1" customHeight="1">
      <c r="B872" s="13"/>
      <c r="C872" s="2"/>
      <c r="D872" s="13"/>
      <c r="E872" s="13"/>
      <c r="F872" s="13"/>
      <c r="G872" s="13"/>
      <c r="H872" s="13"/>
      <c r="I872" s="13"/>
      <c r="J872" s="13"/>
      <c r="K872" s="13"/>
      <c r="L872" s="13"/>
      <c r="M872" s="13" t="s">
        <v>88</v>
      </c>
      <c r="N872" s="30" t="s">
        <v>1</v>
      </c>
      <c r="O872" s="177" t="e">
        <f>#REF!</f>
        <v>#REF!</v>
      </c>
      <c r="P872" s="177"/>
      <c r="Q872" s="177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4"/>
      <c r="AF872" s="14"/>
    </row>
    <row r="873" spans="2:32" ht="13.5" hidden="1" customHeight="1">
      <c r="B873" s="13"/>
      <c r="C873" s="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30"/>
      <c r="O873" s="125"/>
      <c r="P873" s="125"/>
      <c r="Q873" s="12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4"/>
      <c r="AF873" s="14"/>
    </row>
    <row r="874" spans="2:32" ht="13.5" hidden="1" customHeight="1">
      <c r="B874" s="13"/>
      <c r="C874" s="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30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4"/>
      <c r="AF874" s="14"/>
    </row>
    <row r="875" spans="2:32" ht="13.5" hidden="1" customHeight="1">
      <c r="B875" s="13"/>
      <c r="C875" s="2"/>
      <c r="D875" s="13"/>
      <c r="E875" s="13"/>
      <c r="F875" s="13"/>
      <c r="G875" s="13"/>
      <c r="H875" s="13"/>
      <c r="I875" s="13"/>
      <c r="J875" s="13"/>
      <c r="K875" s="13"/>
      <c r="L875" s="13"/>
      <c r="M875" s="13" t="s">
        <v>89</v>
      </c>
      <c r="N875" s="30" t="s">
        <v>1</v>
      </c>
      <c r="O875" s="13" t="s">
        <v>90</v>
      </c>
      <c r="P875" s="13"/>
      <c r="Q875" s="13"/>
      <c r="R875" s="13"/>
      <c r="S875" s="13"/>
      <c r="T875" s="13"/>
      <c r="U875" s="13"/>
      <c r="V875" s="177" t="e">
        <f>#REF!</f>
        <v>#REF!</v>
      </c>
      <c r="W875" s="177"/>
      <c r="X875" s="13"/>
      <c r="Y875" s="13"/>
      <c r="Z875" s="13"/>
      <c r="AA875" s="13"/>
      <c r="AB875" s="13"/>
      <c r="AC875" s="13"/>
      <c r="AD875" s="13"/>
      <c r="AE875" s="14"/>
      <c r="AF875" s="14"/>
    </row>
    <row r="876" spans="2:32" ht="13.5" hidden="1" customHeight="1">
      <c r="B876" s="13"/>
      <c r="C876" s="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4"/>
      <c r="AF876" s="14"/>
    </row>
    <row r="877" spans="2:32" ht="13.5" hidden="1" customHeight="1">
      <c r="B877" s="13"/>
      <c r="C877" s="2"/>
      <c r="D877" s="13"/>
      <c r="E877" s="13"/>
      <c r="F877" s="13"/>
      <c r="G877" s="13"/>
      <c r="H877" s="13"/>
      <c r="I877" s="13"/>
      <c r="J877" s="13"/>
      <c r="K877" s="13"/>
      <c r="L877" s="13"/>
      <c r="M877" s="13" t="s">
        <v>94</v>
      </c>
      <c r="N877" s="30" t="s">
        <v>1</v>
      </c>
      <c r="O877" s="177" t="e">
        <f>#REF!</f>
        <v>#REF!</v>
      </c>
      <c r="P877" s="177"/>
      <c r="Q877" s="177"/>
      <c r="R877" s="13"/>
      <c r="S877" s="13"/>
      <c r="T877" s="13"/>
      <c r="U877" s="13"/>
      <c r="V877" s="125"/>
      <c r="W877" s="125"/>
      <c r="X877" s="13"/>
      <c r="Y877" s="13"/>
      <c r="Z877" s="13"/>
      <c r="AA877" s="13"/>
      <c r="AB877" s="13"/>
      <c r="AC877" s="13"/>
      <c r="AD877" s="13"/>
      <c r="AE877" s="14"/>
      <c r="AF877" s="14"/>
    </row>
    <row r="878" spans="2:32" ht="13.5" hidden="1" customHeight="1">
      <c r="B878" s="13"/>
      <c r="C878" s="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4"/>
      <c r="AF878" s="14"/>
    </row>
    <row r="879" spans="2:32" ht="13.5" hidden="1" customHeight="1">
      <c r="B879" s="13"/>
      <c r="C879" s="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4"/>
      <c r="AF879" s="14"/>
    </row>
    <row r="880" spans="2:32" ht="13.5" hidden="1" customHeight="1">
      <c r="B880" s="13"/>
      <c r="C880" s="2"/>
      <c r="D880" s="13"/>
      <c r="E880" s="13"/>
      <c r="F880" s="13"/>
      <c r="G880" s="13"/>
      <c r="H880" s="13"/>
      <c r="I880" s="13"/>
      <c r="J880" s="13"/>
      <c r="K880" s="13"/>
      <c r="L880" s="13"/>
      <c r="M880" s="13" t="s">
        <v>66</v>
      </c>
      <c r="N880" s="13"/>
      <c r="O880" s="40" t="s">
        <v>1</v>
      </c>
      <c r="P880" s="177" t="e">
        <f>#REF!</f>
        <v>#REF!</v>
      </c>
      <c r="Q880" s="177"/>
      <c r="R880" s="177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4"/>
      <c r="AF880" s="14"/>
    </row>
    <row r="881" spans="2:32" ht="13.5" hidden="1" customHeight="1">
      <c r="B881" s="13"/>
      <c r="C881" s="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4"/>
      <c r="AF881" s="14"/>
    </row>
    <row r="882" spans="2:32" ht="13.5" hidden="1" customHeight="1">
      <c r="B882" s="13"/>
      <c r="C882" s="2"/>
      <c r="D882" s="13"/>
      <c r="E882" s="13"/>
      <c r="F882" s="13"/>
      <c r="G882" s="13"/>
      <c r="H882" s="13"/>
      <c r="I882" s="13"/>
      <c r="J882" s="13"/>
      <c r="K882" s="13"/>
      <c r="L882" s="13"/>
      <c r="M882" s="13" t="s">
        <v>9</v>
      </c>
      <c r="N882" s="13"/>
      <c r="O882" s="40" t="s">
        <v>1</v>
      </c>
      <c r="P882" s="177" t="e">
        <f>$N$766</f>
        <v>#REF!</v>
      </c>
      <c r="Q882" s="177"/>
      <c r="R882" s="177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4"/>
      <c r="AF882" s="14"/>
    </row>
    <row r="883" spans="2:32" ht="13.5" hidden="1" customHeight="1">
      <c r="B883" s="13"/>
      <c r="C883" s="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4"/>
      <c r="AF883" s="14"/>
    </row>
    <row r="884" spans="2:32" ht="13.5" hidden="1" customHeight="1">
      <c r="B884" s="13"/>
      <c r="C884" s="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4"/>
      <c r="AF884" s="14"/>
    </row>
    <row r="885" spans="2:32" ht="13.5" hidden="1" customHeight="1">
      <c r="B885" s="13"/>
      <c r="C885" s="2"/>
      <c r="D885" s="13"/>
      <c r="E885" s="13"/>
      <c r="F885" s="13"/>
      <c r="G885" s="13"/>
      <c r="H885" s="13"/>
      <c r="I885" s="13"/>
      <c r="J885" s="13"/>
      <c r="K885" s="13"/>
      <c r="L885" s="13"/>
      <c r="M885" s="13" t="s">
        <v>107</v>
      </c>
      <c r="N885" s="30"/>
      <c r="O885" s="40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4"/>
      <c r="AF885" s="14"/>
    </row>
    <row r="886" spans="2:32" ht="13.5" hidden="1" customHeight="1">
      <c r="B886" s="13"/>
      <c r="C886" s="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4"/>
      <c r="AF886" s="14"/>
    </row>
    <row r="887" spans="2:32" ht="13.5" hidden="1" customHeight="1">
      <c r="B887" s="13"/>
      <c r="C887" s="2"/>
      <c r="D887" s="13"/>
      <c r="E887" s="13"/>
      <c r="F887" s="13"/>
      <c r="G887" s="13"/>
      <c r="H887" s="13"/>
      <c r="I887" s="13"/>
      <c r="J887" s="13"/>
      <c r="K887" s="13"/>
      <c r="L887" s="13"/>
      <c r="M887" s="13" t="s">
        <v>108</v>
      </c>
      <c r="N887" s="13"/>
      <c r="O887" s="13" t="s">
        <v>110</v>
      </c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4"/>
      <c r="AF887" s="14"/>
    </row>
    <row r="888" spans="2:32" ht="13.5" hidden="1" customHeight="1">
      <c r="B888" s="13"/>
      <c r="C888" s="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4"/>
      <c r="AF888" s="14"/>
    </row>
    <row r="889" spans="2:32" s="11" customFormat="1" ht="13.5" hidden="1" customHeight="1">
      <c r="B889" s="9"/>
      <c r="C889" s="9"/>
      <c r="D889" s="9" t="s">
        <v>109</v>
      </c>
      <c r="E889" s="9"/>
      <c r="F889" s="9"/>
      <c r="G889" s="9"/>
      <c r="H889" s="9"/>
      <c r="I889" s="9"/>
      <c r="J889" s="28"/>
      <c r="K889" s="28"/>
      <c r="L889" s="28"/>
      <c r="M889" s="9"/>
      <c r="N889" s="16"/>
      <c r="O889" s="16"/>
      <c r="P889" s="16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10"/>
      <c r="AF889" s="10"/>
    </row>
    <row r="890" spans="2:32" s="11" customFormat="1" ht="13.5" hidden="1" customHeight="1">
      <c r="B890" s="9"/>
      <c r="C890" s="3"/>
      <c r="D890" s="9" t="s">
        <v>76</v>
      </c>
      <c r="E890" s="9"/>
      <c r="F890" s="9"/>
      <c r="G890" s="9"/>
      <c r="H890" s="185">
        <v>1</v>
      </c>
      <c r="I890" s="185"/>
      <c r="J890" s="9" t="s">
        <v>142</v>
      </c>
      <c r="K890" s="28"/>
      <c r="L890" s="28"/>
      <c r="M890" s="9"/>
      <c r="N890" s="16"/>
      <c r="O890" s="16"/>
      <c r="P890" s="16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10"/>
      <c r="AF890" s="10"/>
    </row>
    <row r="891" spans="2:32" s="11" customFormat="1" ht="13.5" hidden="1" customHeight="1">
      <c r="B891" s="9"/>
      <c r="C891" s="3"/>
      <c r="D891" s="9" t="s">
        <v>158</v>
      </c>
      <c r="E891" s="9"/>
      <c r="F891" s="9"/>
      <c r="G891" s="9"/>
      <c r="H891" s="9"/>
      <c r="I891" s="9"/>
      <c r="J891" s="28"/>
      <c r="K891" s="32" t="s">
        <v>1</v>
      </c>
      <c r="L891" s="204">
        <v>12</v>
      </c>
      <c r="M891" s="204"/>
      <c r="N891" s="204"/>
      <c r="O891" s="33" t="s">
        <v>77</v>
      </c>
      <c r="P891" s="16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10"/>
      <c r="AF891" s="10"/>
    </row>
    <row r="892" spans="2:32" ht="13.5" hidden="1" customHeight="1">
      <c r="B892" s="13"/>
      <c r="C892" s="2"/>
      <c r="D892" s="13"/>
      <c r="E892" s="13"/>
      <c r="F892" s="13"/>
      <c r="G892" s="13"/>
      <c r="H892" s="13"/>
      <c r="I892" s="13"/>
      <c r="J892" s="29"/>
      <c r="K892" s="29"/>
      <c r="L892" s="29"/>
      <c r="M892" s="13"/>
      <c r="N892" s="17"/>
      <c r="O892" s="17"/>
      <c r="P892" s="17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4"/>
      <c r="AF892" s="14"/>
    </row>
    <row r="893" spans="2:32" ht="13.5" hidden="1" customHeight="1">
      <c r="B893" s="13"/>
      <c r="C893" s="2"/>
      <c r="D893" s="13"/>
      <c r="E893" s="13"/>
      <c r="F893" s="13"/>
      <c r="G893" s="13"/>
      <c r="H893" s="13"/>
      <c r="I893" s="13"/>
      <c r="J893" s="29"/>
      <c r="K893" s="29"/>
      <c r="L893" s="6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4"/>
      <c r="AF893" s="14"/>
    </row>
    <row r="894" spans="2:32" ht="13.5" hidden="1" customHeight="1">
      <c r="B894" s="13"/>
      <c r="C894" s="2"/>
      <c r="D894" s="13"/>
      <c r="E894" s="13"/>
      <c r="F894" s="113" t="s">
        <v>163</v>
      </c>
      <c r="G894" s="113"/>
      <c r="H894" s="113"/>
      <c r="I894" s="113"/>
      <c r="J894" s="113"/>
      <c r="K894" s="113"/>
      <c r="L894" s="113"/>
      <c r="M894" s="173" t="s">
        <v>1</v>
      </c>
      <c r="N894" s="146" t="s">
        <v>159</v>
      </c>
      <c r="O894" s="146"/>
      <c r="P894" s="146"/>
      <c r="Q894" s="146"/>
      <c r="R894" s="146"/>
      <c r="S894" s="146"/>
      <c r="T894" s="146"/>
      <c r="U894" s="146"/>
      <c r="V894" s="113" t="s">
        <v>162</v>
      </c>
      <c r="W894" s="113"/>
      <c r="X894" s="113"/>
      <c r="Y894" s="113"/>
      <c r="Z894" s="113"/>
      <c r="AA894" s="113"/>
      <c r="AB894" s="113"/>
      <c r="AC894" s="13"/>
      <c r="AD894" s="13"/>
      <c r="AE894" s="14"/>
      <c r="AF894" s="14"/>
    </row>
    <row r="895" spans="2:32" ht="13.5" hidden="1" customHeight="1">
      <c r="B895" s="13"/>
      <c r="C895" s="2"/>
      <c r="D895" s="13"/>
      <c r="E895" s="13"/>
      <c r="F895" s="113"/>
      <c r="G895" s="113"/>
      <c r="H895" s="113"/>
      <c r="I895" s="113"/>
      <c r="J895" s="113"/>
      <c r="K895" s="113"/>
      <c r="L895" s="113"/>
      <c r="M895" s="113"/>
      <c r="N895" s="126" t="s">
        <v>160</v>
      </c>
      <c r="O895" s="126"/>
      <c r="P895" s="126"/>
      <c r="Q895" s="126"/>
      <c r="R895" s="126"/>
      <c r="S895" s="126"/>
      <c r="T895" s="126"/>
      <c r="U895" s="126"/>
      <c r="V895" s="113"/>
      <c r="W895" s="113"/>
      <c r="X895" s="113"/>
      <c r="Y895" s="113"/>
      <c r="Z895" s="113"/>
      <c r="AA895" s="113"/>
      <c r="AB895" s="113"/>
      <c r="AC895" s="13"/>
      <c r="AD895" s="13"/>
      <c r="AE895" s="14"/>
      <c r="AF895" s="14"/>
    </row>
    <row r="896" spans="2:32" ht="13.5" hidden="1" customHeight="1">
      <c r="B896" s="13"/>
      <c r="C896" s="2"/>
      <c r="D896" s="13"/>
      <c r="E896" s="13"/>
      <c r="F896" s="13"/>
      <c r="G896" s="13"/>
      <c r="H896" s="13"/>
      <c r="I896" s="13"/>
      <c r="J896" s="29"/>
      <c r="K896" s="29"/>
      <c r="L896" s="6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4"/>
      <c r="AF896" s="14"/>
    </row>
    <row r="897" spans="2:32" ht="13.5" hidden="1" customHeight="1">
      <c r="B897" s="13"/>
      <c r="C897" s="2"/>
      <c r="D897" s="13"/>
      <c r="E897" s="13"/>
      <c r="F897" s="113" t="s">
        <v>163</v>
      </c>
      <c r="G897" s="113"/>
      <c r="H897" s="113"/>
      <c r="I897" s="113"/>
      <c r="J897" s="113"/>
      <c r="K897" s="113"/>
      <c r="L897" s="113"/>
      <c r="M897" s="173" t="s">
        <v>1</v>
      </c>
      <c r="N897" s="174" t="e">
        <f>#REF!</f>
        <v>#REF!</v>
      </c>
      <c r="O897" s="174"/>
      <c r="P897" s="174"/>
      <c r="Q897" s="174"/>
      <c r="R897" s="174"/>
      <c r="S897" s="174"/>
      <c r="T897" s="174"/>
      <c r="U897" s="174"/>
      <c r="V897" s="176">
        <f>L891/1000</f>
        <v>1.2E-2</v>
      </c>
      <c r="W897" s="176"/>
      <c r="X897" s="176"/>
      <c r="Y897" s="13"/>
      <c r="Z897" s="13"/>
      <c r="AA897" s="13"/>
      <c r="AB897" s="13"/>
      <c r="AC897" s="13"/>
      <c r="AD897" s="13"/>
      <c r="AE897" s="14"/>
      <c r="AF897" s="14"/>
    </row>
    <row r="898" spans="2:32" ht="13.5" hidden="1" customHeight="1">
      <c r="B898" s="13"/>
      <c r="C898" s="2"/>
      <c r="D898" s="13"/>
      <c r="E898" s="13"/>
      <c r="F898" s="113"/>
      <c r="G898" s="113"/>
      <c r="H898" s="113"/>
      <c r="I898" s="113"/>
      <c r="J898" s="113"/>
      <c r="K898" s="113"/>
      <c r="L898" s="113"/>
      <c r="M898" s="113"/>
      <c r="N898" s="196">
        <f>H890</f>
        <v>1</v>
      </c>
      <c r="O898" s="196"/>
      <c r="P898" s="196"/>
      <c r="Q898" s="196"/>
      <c r="R898" s="196"/>
      <c r="S898" s="196"/>
      <c r="T898" s="196"/>
      <c r="U898" s="196"/>
      <c r="V898" s="176"/>
      <c r="W898" s="176"/>
      <c r="X898" s="176"/>
      <c r="Y898" s="13"/>
      <c r="Z898" s="13"/>
      <c r="AA898" s="13"/>
      <c r="AB898" s="13"/>
      <c r="AC898" s="13"/>
      <c r="AD898" s="13"/>
      <c r="AE898" s="14"/>
      <c r="AF898" s="14"/>
    </row>
    <row r="899" spans="2:32" ht="13.5" hidden="1" customHeight="1">
      <c r="B899" s="13"/>
      <c r="C899" s="2"/>
      <c r="D899" s="13"/>
      <c r="E899" s="13"/>
      <c r="F899" s="13"/>
      <c r="G899" s="13"/>
      <c r="H899" s="13"/>
      <c r="I899" s="13"/>
      <c r="J899" s="29"/>
      <c r="K899" s="29"/>
      <c r="L899" s="6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4"/>
      <c r="AF899" s="14"/>
    </row>
    <row r="900" spans="2:32" ht="13.5" hidden="1" customHeight="1">
      <c r="B900" s="13"/>
      <c r="C900" s="2"/>
      <c r="D900" s="13"/>
      <c r="E900" s="13"/>
      <c r="F900" s="113" t="s">
        <v>163</v>
      </c>
      <c r="G900" s="113"/>
      <c r="H900" s="113"/>
      <c r="I900" s="113"/>
      <c r="J900" s="113"/>
      <c r="K900" s="113"/>
      <c r="L900" s="113"/>
      <c r="M900" s="173" t="s">
        <v>1</v>
      </c>
      <c r="N900" s="176" t="e">
        <f>(N897/N898)*V897</f>
        <v>#REF!</v>
      </c>
      <c r="O900" s="176"/>
      <c r="P900" s="176"/>
      <c r="Q900" s="13"/>
      <c r="R900" s="113" t="s">
        <v>78</v>
      </c>
      <c r="S900" s="113"/>
      <c r="T900" s="1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4"/>
      <c r="AF900" s="14"/>
    </row>
    <row r="901" spans="2:32" ht="13.5" hidden="1" customHeight="1">
      <c r="B901" s="13"/>
      <c r="C901" s="2"/>
      <c r="D901" s="13"/>
      <c r="E901" s="13"/>
      <c r="F901" s="113"/>
      <c r="G901" s="113"/>
      <c r="H901" s="113"/>
      <c r="I901" s="113"/>
      <c r="J901" s="113"/>
      <c r="K901" s="113"/>
      <c r="L901" s="113"/>
      <c r="M901" s="113"/>
      <c r="N901" s="176"/>
      <c r="O901" s="176"/>
      <c r="P901" s="176"/>
      <c r="Q901" s="13"/>
      <c r="R901" s="113"/>
      <c r="S901" s="113"/>
      <c r="T901" s="1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4"/>
      <c r="AF901" s="14"/>
    </row>
    <row r="902" spans="2:32" ht="13.5" hidden="1" customHeight="1">
      <c r="B902" s="13"/>
      <c r="C902" s="2"/>
      <c r="D902" s="13"/>
      <c r="E902" s="13"/>
      <c r="F902" s="13"/>
      <c r="G902" s="13"/>
      <c r="H902" s="13"/>
      <c r="I902" s="13"/>
      <c r="J902" s="29"/>
      <c r="K902" s="29"/>
      <c r="L902" s="6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4"/>
      <c r="AF902" s="14"/>
    </row>
    <row r="903" spans="2:32" ht="13.5" hidden="1" customHeight="1">
      <c r="B903" s="13"/>
      <c r="C903" s="2"/>
      <c r="D903" s="13"/>
      <c r="E903" s="13"/>
      <c r="F903" s="13"/>
      <c r="G903" s="13"/>
      <c r="H903" s="13"/>
      <c r="I903" s="13"/>
      <c r="J903" s="29"/>
      <c r="K903" s="29"/>
      <c r="L903" s="6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4"/>
      <c r="AF903" s="14"/>
    </row>
    <row r="904" spans="2:32" ht="13.5" hidden="1" customHeight="1">
      <c r="B904" s="13"/>
      <c r="C904" s="2"/>
      <c r="D904" s="13"/>
      <c r="E904" s="13"/>
      <c r="F904" s="113" t="s">
        <v>164</v>
      </c>
      <c r="G904" s="113"/>
      <c r="H904" s="113"/>
      <c r="I904" s="113"/>
      <c r="J904" s="113"/>
      <c r="K904" s="113"/>
      <c r="L904" s="113"/>
      <c r="M904" s="173" t="s">
        <v>1</v>
      </c>
      <c r="N904" s="146" t="s">
        <v>161</v>
      </c>
      <c r="O904" s="146"/>
      <c r="P904" s="146"/>
      <c r="Q904" s="146"/>
      <c r="R904" s="146"/>
      <c r="S904" s="146"/>
      <c r="T904" s="146"/>
      <c r="U904" s="146"/>
      <c r="V904" s="113" t="s">
        <v>162</v>
      </c>
      <c r="W904" s="113"/>
      <c r="X904" s="113"/>
      <c r="Y904" s="113"/>
      <c r="Z904" s="113"/>
      <c r="AA904" s="113"/>
      <c r="AB904" s="113"/>
      <c r="AC904" s="13"/>
      <c r="AD904" s="13"/>
      <c r="AE904" s="14"/>
      <c r="AF904" s="14"/>
    </row>
    <row r="905" spans="2:32" ht="13.5" hidden="1" customHeight="1">
      <c r="B905" s="13"/>
      <c r="C905" s="2"/>
      <c r="D905" s="13"/>
      <c r="E905" s="13"/>
      <c r="F905" s="113"/>
      <c r="G905" s="113"/>
      <c r="H905" s="113"/>
      <c r="I905" s="113"/>
      <c r="J905" s="113"/>
      <c r="K905" s="113"/>
      <c r="L905" s="113"/>
      <c r="M905" s="113"/>
      <c r="N905" s="126" t="s">
        <v>160</v>
      </c>
      <c r="O905" s="126"/>
      <c r="P905" s="126"/>
      <c r="Q905" s="126"/>
      <c r="R905" s="126"/>
      <c r="S905" s="126"/>
      <c r="T905" s="126"/>
      <c r="U905" s="126"/>
      <c r="V905" s="113"/>
      <c r="W905" s="113"/>
      <c r="X905" s="113"/>
      <c r="Y905" s="113"/>
      <c r="Z905" s="113"/>
      <c r="AA905" s="113"/>
      <c r="AB905" s="113"/>
      <c r="AC905" s="13"/>
      <c r="AD905" s="13"/>
      <c r="AE905" s="14"/>
      <c r="AF905" s="14"/>
    </row>
    <row r="906" spans="2:32" ht="13.5" hidden="1" customHeight="1">
      <c r="B906" s="13"/>
      <c r="C906" s="2"/>
      <c r="D906" s="13"/>
      <c r="E906" s="13"/>
      <c r="F906" s="13"/>
      <c r="G906" s="13"/>
      <c r="H906" s="13"/>
      <c r="I906" s="13"/>
      <c r="J906" s="29"/>
      <c r="K906" s="29"/>
      <c r="L906" s="6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4"/>
      <c r="AF906" s="14"/>
    </row>
    <row r="907" spans="2:32" ht="13.5" hidden="1" customHeight="1">
      <c r="B907" s="13"/>
      <c r="C907" s="2"/>
      <c r="D907" s="13"/>
      <c r="E907" s="13"/>
      <c r="F907" s="113" t="s">
        <v>164</v>
      </c>
      <c r="G907" s="113"/>
      <c r="H907" s="113"/>
      <c r="I907" s="113"/>
      <c r="J907" s="113"/>
      <c r="K907" s="113"/>
      <c r="L907" s="113"/>
      <c r="M907" s="173" t="s">
        <v>1</v>
      </c>
      <c r="N907" s="174" t="e">
        <f>#REF!</f>
        <v>#REF!</v>
      </c>
      <c r="O907" s="174"/>
      <c r="P907" s="174"/>
      <c r="Q907" s="174"/>
      <c r="R907" s="174"/>
      <c r="S907" s="174"/>
      <c r="T907" s="174"/>
      <c r="U907" s="174"/>
      <c r="V907" s="176">
        <f>L891/1000</f>
        <v>1.2E-2</v>
      </c>
      <c r="W907" s="176"/>
      <c r="X907" s="176"/>
      <c r="Y907" s="13"/>
      <c r="Z907" s="13"/>
      <c r="AA907" s="13"/>
      <c r="AB907" s="13"/>
      <c r="AC907" s="13"/>
      <c r="AD907" s="13"/>
      <c r="AE907" s="14"/>
      <c r="AF907" s="14"/>
    </row>
    <row r="908" spans="2:32" ht="13.5" hidden="1" customHeight="1">
      <c r="B908" s="13"/>
      <c r="C908" s="2"/>
      <c r="D908" s="13"/>
      <c r="E908" s="13"/>
      <c r="F908" s="113"/>
      <c r="G908" s="113"/>
      <c r="H908" s="113"/>
      <c r="I908" s="113"/>
      <c r="J908" s="113"/>
      <c r="K908" s="113"/>
      <c r="L908" s="113"/>
      <c r="M908" s="113"/>
      <c r="N908" s="196">
        <f>H890</f>
        <v>1</v>
      </c>
      <c r="O908" s="196"/>
      <c r="P908" s="196"/>
      <c r="Q908" s="196"/>
      <c r="R908" s="196"/>
      <c r="S908" s="196"/>
      <c r="T908" s="196"/>
      <c r="U908" s="196"/>
      <c r="V908" s="176"/>
      <c r="W908" s="176"/>
      <c r="X908" s="176"/>
      <c r="Y908" s="13"/>
      <c r="Z908" s="13"/>
      <c r="AA908" s="13"/>
      <c r="AB908" s="13"/>
      <c r="AC908" s="13"/>
      <c r="AD908" s="13"/>
      <c r="AE908" s="14"/>
      <c r="AF908" s="14"/>
    </row>
    <row r="909" spans="2:32" ht="13.5" hidden="1" customHeight="1">
      <c r="B909" s="13"/>
      <c r="C909" s="2"/>
      <c r="D909" s="13"/>
      <c r="E909" s="13"/>
      <c r="F909" s="13"/>
      <c r="G909" s="13"/>
      <c r="H909" s="13"/>
      <c r="I909" s="13"/>
      <c r="J909" s="29"/>
      <c r="K909" s="29"/>
      <c r="L909" s="6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4"/>
      <c r="AF909" s="14"/>
    </row>
    <row r="910" spans="2:32" ht="13.5" hidden="1" customHeight="1">
      <c r="B910" s="13"/>
      <c r="C910" s="2"/>
      <c r="D910" s="13"/>
      <c r="E910" s="13"/>
      <c r="F910" s="113" t="s">
        <v>164</v>
      </c>
      <c r="G910" s="113"/>
      <c r="H910" s="113"/>
      <c r="I910" s="113"/>
      <c r="J910" s="113"/>
      <c r="K910" s="113"/>
      <c r="L910" s="113"/>
      <c r="M910" s="173" t="s">
        <v>1</v>
      </c>
      <c r="N910" s="176" t="e">
        <f>(N907/N908)*V907</f>
        <v>#REF!</v>
      </c>
      <c r="O910" s="176"/>
      <c r="P910" s="176"/>
      <c r="Q910" s="13"/>
      <c r="R910" s="113" t="s">
        <v>78</v>
      </c>
      <c r="S910" s="113"/>
      <c r="T910" s="1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4"/>
      <c r="AF910" s="14"/>
    </row>
    <row r="911" spans="2:32" ht="13.5" hidden="1" customHeight="1">
      <c r="B911" s="13"/>
      <c r="C911" s="2"/>
      <c r="D911" s="13"/>
      <c r="E911" s="13"/>
      <c r="F911" s="113"/>
      <c r="G911" s="113"/>
      <c r="H911" s="113"/>
      <c r="I911" s="113"/>
      <c r="J911" s="113"/>
      <c r="K911" s="113"/>
      <c r="L911" s="113"/>
      <c r="M911" s="113"/>
      <c r="N911" s="176"/>
      <c r="O911" s="176"/>
      <c r="P911" s="176"/>
      <c r="Q911" s="13"/>
      <c r="R911" s="113"/>
      <c r="S911" s="113"/>
      <c r="T911" s="1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4"/>
      <c r="AF911" s="14"/>
    </row>
    <row r="912" spans="2:32" ht="13.5" hidden="1" customHeight="1">
      <c r="B912" s="21"/>
      <c r="C912" s="34"/>
      <c r="D912" s="21"/>
      <c r="E912" s="21"/>
      <c r="F912" s="21"/>
      <c r="G912" s="21"/>
      <c r="H912" s="21"/>
      <c r="I912" s="21"/>
      <c r="J912" s="35"/>
      <c r="K912" s="35"/>
      <c r="L912" s="22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3"/>
      <c r="AF912" s="14"/>
    </row>
    <row r="913" spans="2:32" ht="13.5" hidden="1" customHeight="1">
      <c r="B913" s="13"/>
      <c r="C913" s="2"/>
      <c r="D913" s="13"/>
      <c r="E913" s="13"/>
      <c r="F913" s="13"/>
      <c r="G913" s="13"/>
      <c r="H913" s="13"/>
      <c r="I913" s="13"/>
      <c r="J913" s="29"/>
      <c r="K913" s="29"/>
      <c r="L913" s="6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4"/>
      <c r="AF913" s="14"/>
    </row>
    <row r="914" spans="2:32" s="11" customFormat="1" ht="13.5" hidden="1" customHeight="1">
      <c r="B914" s="9"/>
      <c r="C914" s="3"/>
      <c r="D914" s="9"/>
      <c r="E914" s="9"/>
      <c r="F914" s="9" t="s">
        <v>21</v>
      </c>
      <c r="G914" s="9" t="s">
        <v>79</v>
      </c>
      <c r="H914" s="9"/>
      <c r="I914" s="9"/>
      <c r="J914" s="28"/>
      <c r="K914" s="28"/>
      <c r="L914" s="7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10"/>
      <c r="AF914" s="10"/>
    </row>
    <row r="915" spans="2:32" ht="13.5" hidden="1" customHeight="1">
      <c r="B915" s="13"/>
      <c r="C915" s="2"/>
      <c r="D915" s="13"/>
      <c r="E915" s="13"/>
      <c r="F915" s="13"/>
      <c r="G915" s="13"/>
      <c r="H915" s="13"/>
      <c r="I915" s="13"/>
      <c r="J915" s="29"/>
      <c r="K915" s="29"/>
      <c r="L915" s="6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4"/>
      <c r="AF915" s="14"/>
    </row>
    <row r="916" spans="2:32" ht="13.5" hidden="1" customHeight="1">
      <c r="B916" s="13"/>
      <c r="C916" s="2"/>
      <c r="D916" s="13"/>
      <c r="E916" s="13"/>
      <c r="F916" s="13"/>
      <c r="G916" s="13"/>
      <c r="H916" s="13"/>
      <c r="I916" s="13"/>
      <c r="J916" s="113" t="s">
        <v>107</v>
      </c>
      <c r="K916" s="113"/>
      <c r="L916" s="113"/>
      <c r="M916" s="173" t="s">
        <v>1</v>
      </c>
      <c r="N916" s="197" t="s">
        <v>95</v>
      </c>
      <c r="O916" s="198"/>
      <c r="P916" s="198"/>
      <c r="Q916" s="208" t="s">
        <v>8</v>
      </c>
      <c r="R916" s="198"/>
      <c r="S916" s="198" t="s">
        <v>96</v>
      </c>
      <c r="T916" s="198"/>
      <c r="U916" s="198"/>
      <c r="V916" s="13"/>
      <c r="W916" s="13"/>
      <c r="X916" s="13"/>
      <c r="Y916" s="13"/>
      <c r="Z916" s="13"/>
      <c r="AA916" s="13"/>
      <c r="AB916" s="13"/>
      <c r="AC916" s="13"/>
      <c r="AD916" s="13"/>
      <c r="AE916" s="14"/>
      <c r="AF916" s="14"/>
    </row>
    <row r="917" spans="2:32" ht="13.5" hidden="1" customHeight="1">
      <c r="B917" s="13"/>
      <c r="C917" s="2"/>
      <c r="D917" s="13"/>
      <c r="E917" s="13"/>
      <c r="F917" s="13"/>
      <c r="G917" s="13"/>
      <c r="H917" s="13"/>
      <c r="I917" s="13"/>
      <c r="J917" s="113"/>
      <c r="K917" s="113"/>
      <c r="L917" s="113"/>
      <c r="M917" s="113"/>
      <c r="N917" s="199"/>
      <c r="O917" s="113"/>
      <c r="P917" s="113"/>
      <c r="Q917" s="113"/>
      <c r="R917" s="113"/>
      <c r="S917" s="113"/>
      <c r="T917" s="113"/>
      <c r="U917" s="113"/>
      <c r="V917" s="13"/>
      <c r="W917" s="13"/>
      <c r="X917" s="13"/>
      <c r="Y917" s="13"/>
      <c r="Z917" s="13"/>
      <c r="AA917" s="13"/>
      <c r="AB917" s="13"/>
      <c r="AC917" s="13"/>
      <c r="AD917" s="13"/>
      <c r="AE917" s="14"/>
      <c r="AF917" s="14"/>
    </row>
    <row r="918" spans="2:32" ht="13.5" hidden="1" customHeight="1">
      <c r="B918" s="13"/>
      <c r="C918" s="2"/>
      <c r="D918" s="13"/>
      <c r="E918" s="13"/>
      <c r="F918" s="13"/>
      <c r="G918" s="13"/>
      <c r="H918" s="13"/>
      <c r="I918" s="13"/>
      <c r="J918" s="29"/>
      <c r="K918" s="29"/>
      <c r="L918" s="6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4"/>
      <c r="AF918" s="14"/>
    </row>
    <row r="919" spans="2:32" ht="13.5" hidden="1" customHeight="1">
      <c r="B919" s="13"/>
      <c r="C919" s="2"/>
      <c r="D919" s="13"/>
      <c r="E919" s="13"/>
      <c r="F919" s="13"/>
      <c r="G919" s="13"/>
      <c r="H919" s="13"/>
      <c r="I919" s="13"/>
      <c r="J919" s="113" t="s">
        <v>107</v>
      </c>
      <c r="K919" s="113"/>
      <c r="L919" s="113"/>
      <c r="M919" s="173" t="s">
        <v>1</v>
      </c>
      <c r="N919" s="206" t="e">
        <f>N900*N900</f>
        <v>#REF!</v>
      </c>
      <c r="O919" s="195"/>
      <c r="P919" s="195"/>
      <c r="Q919" s="208" t="s">
        <v>8</v>
      </c>
      <c r="R919" s="198"/>
      <c r="S919" s="195" t="e">
        <f>N910*N910</f>
        <v>#REF!</v>
      </c>
      <c r="T919" s="195"/>
      <c r="U919" s="195"/>
      <c r="V919" s="13"/>
      <c r="W919" s="13"/>
      <c r="X919" s="13"/>
      <c r="Y919" s="13"/>
      <c r="Z919" s="13"/>
      <c r="AA919" s="13"/>
      <c r="AB919" s="13"/>
      <c r="AC919" s="13"/>
      <c r="AD919" s="13"/>
      <c r="AE919" s="14"/>
      <c r="AF919" s="14"/>
    </row>
    <row r="920" spans="2:32" ht="13.5" hidden="1" customHeight="1">
      <c r="B920" s="13"/>
      <c r="C920" s="2"/>
      <c r="D920" s="13"/>
      <c r="E920" s="13"/>
      <c r="F920" s="13"/>
      <c r="G920" s="13"/>
      <c r="H920" s="13"/>
      <c r="I920" s="13"/>
      <c r="J920" s="113"/>
      <c r="K920" s="113"/>
      <c r="L920" s="113"/>
      <c r="M920" s="113"/>
      <c r="N920" s="207"/>
      <c r="O920" s="176"/>
      <c r="P920" s="176"/>
      <c r="Q920" s="113"/>
      <c r="R920" s="113"/>
      <c r="S920" s="176"/>
      <c r="T920" s="176"/>
      <c r="U920" s="176"/>
      <c r="V920" s="13"/>
      <c r="W920" s="13"/>
      <c r="X920" s="13"/>
      <c r="Y920" s="13"/>
      <c r="Z920" s="13"/>
      <c r="AA920" s="13"/>
      <c r="AB920" s="13"/>
      <c r="AC920" s="13"/>
      <c r="AD920" s="13"/>
      <c r="AE920" s="14"/>
      <c r="AF920" s="14"/>
    </row>
    <row r="921" spans="2:32" ht="13.5" hidden="1" customHeight="1">
      <c r="B921" s="13"/>
      <c r="C921" s="2"/>
      <c r="D921" s="13"/>
      <c r="E921" s="13"/>
      <c r="F921" s="13"/>
      <c r="G921" s="13"/>
      <c r="H921" s="13"/>
      <c r="I921" s="13"/>
      <c r="J921" s="29"/>
      <c r="K921" s="29"/>
      <c r="L921" s="6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4"/>
      <c r="AF921" s="14"/>
    </row>
    <row r="922" spans="2:32" ht="13.5" hidden="1" customHeight="1">
      <c r="B922" s="13"/>
      <c r="C922" s="2"/>
      <c r="D922" s="13"/>
      <c r="E922" s="13"/>
      <c r="F922" s="13"/>
      <c r="G922" s="13"/>
      <c r="H922" s="13"/>
      <c r="I922" s="13"/>
      <c r="J922" s="113" t="s">
        <v>107</v>
      </c>
      <c r="K922" s="113"/>
      <c r="L922" s="113"/>
      <c r="M922" s="173" t="s">
        <v>1</v>
      </c>
      <c r="N922" s="176" t="e">
        <f>SQRT(N919+S919)</f>
        <v>#REF!</v>
      </c>
      <c r="O922" s="176"/>
      <c r="P922" s="176"/>
      <c r="Q922" s="176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4"/>
      <c r="AF922" s="14"/>
    </row>
    <row r="923" spans="2:32" ht="13.5" hidden="1" customHeight="1">
      <c r="B923" s="13"/>
      <c r="C923" s="2"/>
      <c r="D923" s="13"/>
      <c r="E923" s="13"/>
      <c r="F923" s="13"/>
      <c r="G923" s="13"/>
      <c r="H923" s="13"/>
      <c r="I923" s="13"/>
      <c r="J923" s="113"/>
      <c r="K923" s="113"/>
      <c r="L923" s="113"/>
      <c r="M923" s="113"/>
      <c r="N923" s="176"/>
      <c r="O923" s="176"/>
      <c r="P923" s="176"/>
      <c r="Q923" s="176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4"/>
      <c r="AF923" s="14"/>
    </row>
    <row r="924" spans="2:32" ht="13.5" hidden="1" customHeight="1">
      <c r="B924" s="13"/>
      <c r="C924" s="2"/>
      <c r="D924" s="13"/>
      <c r="E924" s="13"/>
      <c r="F924" s="13"/>
      <c r="G924" s="13"/>
      <c r="H924" s="13"/>
      <c r="I924" s="13"/>
      <c r="J924" s="29"/>
      <c r="K924" s="29"/>
      <c r="L924" s="6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4"/>
      <c r="AF924" s="14"/>
    </row>
    <row r="925" spans="2:32" s="11" customFormat="1" ht="13.5" hidden="1" customHeight="1">
      <c r="B925" s="9"/>
      <c r="C925" s="3"/>
      <c r="D925" s="9"/>
      <c r="E925" s="9"/>
      <c r="F925" s="9" t="s">
        <v>22</v>
      </c>
      <c r="G925" s="9" t="s">
        <v>139</v>
      </c>
      <c r="H925" s="9"/>
      <c r="I925" s="9"/>
      <c r="J925" s="28"/>
      <c r="K925" s="28"/>
      <c r="L925" s="7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10"/>
      <c r="AF925" s="10"/>
    </row>
    <row r="926" spans="2:32" ht="13.5" hidden="1" customHeight="1">
      <c r="B926" s="13"/>
      <c r="C926" s="2"/>
      <c r="D926" s="13"/>
      <c r="E926" s="13"/>
      <c r="F926" s="13"/>
      <c r="G926" s="13"/>
      <c r="H926" s="13"/>
      <c r="I926" s="13"/>
      <c r="J926" s="29"/>
      <c r="K926" s="29"/>
      <c r="L926" s="6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4"/>
      <c r="AF926" s="14"/>
    </row>
    <row r="927" spans="2:32" ht="13.5" hidden="1" customHeight="1">
      <c r="B927" s="13"/>
      <c r="C927" s="2"/>
      <c r="D927" s="13"/>
      <c r="E927" s="13"/>
      <c r="F927" s="13"/>
      <c r="G927" s="13"/>
      <c r="H927" s="13"/>
      <c r="I927" s="13"/>
      <c r="J927" s="29"/>
      <c r="K927" s="205" t="s">
        <v>97</v>
      </c>
      <c r="L927" s="205"/>
      <c r="M927" s="173" t="s">
        <v>1</v>
      </c>
      <c r="N927" s="146" t="s">
        <v>80</v>
      </c>
      <c r="O927" s="146"/>
      <c r="P927" s="146"/>
      <c r="Q927" s="146"/>
      <c r="R927" s="146" t="s">
        <v>73</v>
      </c>
      <c r="S927" s="146"/>
      <c r="T927" s="146" t="s">
        <v>81</v>
      </c>
      <c r="U927" s="146"/>
      <c r="V927" s="146"/>
      <c r="W927" s="13"/>
      <c r="X927" s="13"/>
      <c r="Y927" s="13"/>
      <c r="Z927" s="13"/>
      <c r="AA927" s="13"/>
      <c r="AB927" s="13"/>
      <c r="AC927" s="13"/>
      <c r="AD927" s="13"/>
      <c r="AE927" s="14"/>
      <c r="AF927" s="14"/>
    </row>
    <row r="928" spans="2:32" ht="13.5" hidden="1" customHeight="1">
      <c r="B928" s="13"/>
      <c r="C928" s="2"/>
      <c r="D928" s="13"/>
      <c r="E928" s="13"/>
      <c r="F928" s="13"/>
      <c r="G928" s="13"/>
      <c r="H928" s="13"/>
      <c r="I928" s="13"/>
      <c r="J928" s="29"/>
      <c r="K928" s="205"/>
      <c r="L928" s="205"/>
      <c r="M928" s="113"/>
      <c r="N928" s="126" t="s">
        <v>98</v>
      </c>
      <c r="O928" s="126"/>
      <c r="P928" s="126"/>
      <c r="Q928" s="126"/>
      <c r="R928" s="126" t="s">
        <v>73</v>
      </c>
      <c r="S928" s="126"/>
      <c r="T928" s="126">
        <v>1000</v>
      </c>
      <c r="U928" s="126"/>
      <c r="V928" s="126"/>
      <c r="W928" s="13"/>
      <c r="X928" s="13"/>
      <c r="Y928" s="13"/>
      <c r="Z928" s="13"/>
      <c r="AA928" s="13"/>
      <c r="AB928" s="13"/>
      <c r="AC928" s="13"/>
      <c r="AD928" s="13"/>
      <c r="AE928" s="14"/>
      <c r="AF928" s="14"/>
    </row>
    <row r="929" spans="2:32" ht="13.5" hidden="1" customHeight="1">
      <c r="B929" s="13"/>
      <c r="C929" s="2"/>
      <c r="D929" s="13"/>
      <c r="E929" s="13"/>
      <c r="F929" s="13"/>
      <c r="G929" s="13"/>
      <c r="H929" s="13"/>
      <c r="I929" s="13"/>
      <c r="J929" s="29"/>
      <c r="K929" s="29"/>
      <c r="L929" s="6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4"/>
      <c r="AF929" s="14"/>
    </row>
    <row r="930" spans="2:32" ht="13.5" hidden="1" customHeight="1">
      <c r="B930" s="13"/>
      <c r="C930" s="2"/>
      <c r="D930" s="13"/>
      <c r="E930" s="13"/>
      <c r="F930" s="13"/>
      <c r="G930" s="13"/>
      <c r="H930" s="13"/>
      <c r="I930" s="13"/>
      <c r="J930" s="29"/>
      <c r="K930" s="205" t="s">
        <v>97</v>
      </c>
      <c r="L930" s="205"/>
      <c r="M930" s="173" t="s">
        <v>1</v>
      </c>
      <c r="N930" s="174" t="e">
        <f>N900</f>
        <v>#REF!</v>
      </c>
      <c r="O930" s="174"/>
      <c r="P930" s="174"/>
      <c r="Q930" s="146" t="s">
        <v>73</v>
      </c>
      <c r="R930" s="146"/>
      <c r="S930" s="174" t="e">
        <f>#REF!</f>
        <v>#REF!</v>
      </c>
      <c r="T930" s="174"/>
      <c r="U930" s="174"/>
      <c r="V930" s="13"/>
      <c r="W930" s="13"/>
      <c r="X930" s="13"/>
      <c r="Y930" s="13"/>
      <c r="Z930" s="13"/>
      <c r="AA930" s="13"/>
      <c r="AB930" s="13"/>
      <c r="AC930" s="13"/>
      <c r="AD930" s="13"/>
      <c r="AE930" s="14"/>
      <c r="AF930" s="14"/>
    </row>
    <row r="931" spans="2:32" ht="13.5" hidden="1" customHeight="1">
      <c r="B931" s="13"/>
      <c r="C931" s="2"/>
      <c r="D931" s="13"/>
      <c r="E931" s="13"/>
      <c r="F931" s="13"/>
      <c r="G931" s="13"/>
      <c r="H931" s="13"/>
      <c r="I931" s="13"/>
      <c r="J931" s="29"/>
      <c r="K931" s="205"/>
      <c r="L931" s="205"/>
      <c r="M931" s="113"/>
      <c r="N931" s="196" t="e">
        <f>(#REF!/1000)*(#REF!/1000)</f>
        <v>#REF!</v>
      </c>
      <c r="O931" s="196"/>
      <c r="P931" s="196"/>
      <c r="Q931" s="126" t="s">
        <v>73</v>
      </c>
      <c r="R931" s="126"/>
      <c r="S931" s="196">
        <v>1000</v>
      </c>
      <c r="T931" s="196"/>
      <c r="U931" s="196"/>
      <c r="V931" s="13"/>
      <c r="W931" s="13"/>
      <c r="X931" s="13"/>
      <c r="Y931" s="13"/>
      <c r="Z931" s="13"/>
      <c r="AA931" s="13"/>
      <c r="AB931" s="13"/>
      <c r="AC931" s="13"/>
      <c r="AD931" s="13"/>
      <c r="AE931" s="14"/>
      <c r="AF931" s="14"/>
    </row>
    <row r="932" spans="2:32" ht="13.5" hidden="1" customHeight="1">
      <c r="B932" s="13"/>
      <c r="C932" s="2"/>
      <c r="D932" s="13"/>
      <c r="E932" s="13"/>
      <c r="F932" s="13"/>
      <c r="G932" s="13"/>
      <c r="H932" s="13"/>
      <c r="I932" s="13"/>
      <c r="J932" s="29"/>
      <c r="K932" s="29"/>
      <c r="L932" s="6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4"/>
      <c r="AF932" s="14"/>
    </row>
    <row r="933" spans="2:32" ht="13.5" hidden="1" customHeight="1">
      <c r="B933" s="13"/>
      <c r="C933" s="2"/>
      <c r="D933" s="13"/>
      <c r="E933" s="13"/>
      <c r="F933" s="13"/>
      <c r="G933" s="13"/>
      <c r="H933" s="13"/>
      <c r="I933" s="13"/>
      <c r="J933" s="29"/>
      <c r="K933" s="205" t="s">
        <v>97</v>
      </c>
      <c r="L933" s="205"/>
      <c r="M933" s="173" t="s">
        <v>1</v>
      </c>
      <c r="N933" s="176" t="e">
        <f>(N930*S930)/(N931*S931)</f>
        <v>#REF!</v>
      </c>
      <c r="O933" s="176"/>
      <c r="P933" s="176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4"/>
      <c r="AF933" s="14"/>
    </row>
    <row r="934" spans="2:32" ht="13.5" hidden="1" customHeight="1">
      <c r="B934" s="13"/>
      <c r="C934" s="2"/>
      <c r="D934" s="13"/>
      <c r="E934" s="13"/>
      <c r="F934" s="13"/>
      <c r="G934" s="13"/>
      <c r="H934" s="13"/>
      <c r="I934" s="13"/>
      <c r="J934" s="29"/>
      <c r="K934" s="205"/>
      <c r="L934" s="205"/>
      <c r="M934" s="113"/>
      <c r="N934" s="176"/>
      <c r="O934" s="176"/>
      <c r="P934" s="176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4"/>
      <c r="AF934" s="14"/>
    </row>
    <row r="935" spans="2:32" ht="13.5" hidden="1" customHeight="1">
      <c r="B935" s="13"/>
      <c r="C935" s="2"/>
      <c r="D935" s="13"/>
      <c r="E935" s="13"/>
      <c r="F935" s="13"/>
      <c r="G935" s="13"/>
      <c r="H935" s="13"/>
      <c r="I935" s="13"/>
      <c r="J935" s="29"/>
      <c r="K935" s="29"/>
      <c r="L935" s="6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4"/>
      <c r="AF935" s="14"/>
    </row>
    <row r="936" spans="2:32" s="11" customFormat="1" ht="13.5" hidden="1" customHeight="1">
      <c r="B936" s="9"/>
      <c r="C936" s="3"/>
      <c r="D936" s="9"/>
      <c r="E936" s="9"/>
      <c r="F936" s="9" t="s">
        <v>23</v>
      </c>
      <c r="G936" s="9" t="s">
        <v>140</v>
      </c>
      <c r="H936" s="9"/>
      <c r="I936" s="9"/>
      <c r="J936" s="28"/>
      <c r="K936" s="28"/>
      <c r="L936" s="7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10"/>
      <c r="AF936" s="10"/>
    </row>
    <row r="937" spans="2:32" ht="13.5" hidden="1" customHeight="1">
      <c r="B937" s="13"/>
      <c r="C937" s="2"/>
      <c r="D937" s="13"/>
      <c r="E937" s="13"/>
      <c r="F937" s="13"/>
      <c r="G937" s="13"/>
      <c r="H937" s="13"/>
      <c r="I937" s="13"/>
      <c r="J937" s="29"/>
      <c r="K937" s="29"/>
      <c r="L937" s="6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4"/>
      <c r="AF937" s="14"/>
    </row>
    <row r="938" spans="2:32" ht="13.5" hidden="1" customHeight="1">
      <c r="B938" s="13"/>
      <c r="C938" s="2"/>
      <c r="D938" s="13"/>
      <c r="E938" s="13"/>
      <c r="F938" s="13"/>
      <c r="G938" s="13"/>
      <c r="H938" s="13"/>
      <c r="I938" s="13"/>
      <c r="J938" s="29"/>
      <c r="K938" s="205" t="s">
        <v>99</v>
      </c>
      <c r="L938" s="205"/>
      <c r="M938" s="173" t="s">
        <v>1</v>
      </c>
      <c r="N938" s="146" t="s">
        <v>82</v>
      </c>
      <c r="O938" s="146"/>
      <c r="P938" s="146"/>
      <c r="Q938" s="146"/>
      <c r="R938" s="146" t="s">
        <v>73</v>
      </c>
      <c r="S938" s="146"/>
      <c r="T938" s="146" t="s">
        <v>81</v>
      </c>
      <c r="U938" s="146"/>
      <c r="V938" s="146"/>
      <c r="W938" s="13"/>
      <c r="X938" s="13"/>
      <c r="Y938" s="13"/>
      <c r="Z938" s="13"/>
      <c r="AA938" s="13"/>
      <c r="AB938" s="13"/>
      <c r="AC938" s="13"/>
      <c r="AD938" s="13"/>
      <c r="AE938" s="14"/>
      <c r="AF938" s="14"/>
    </row>
    <row r="939" spans="2:32" ht="13.5" hidden="1" customHeight="1">
      <c r="B939" s="13"/>
      <c r="C939" s="2"/>
      <c r="D939" s="13"/>
      <c r="E939" s="13"/>
      <c r="F939" s="13"/>
      <c r="G939" s="13"/>
      <c r="H939" s="13"/>
      <c r="I939" s="13"/>
      <c r="J939" s="29"/>
      <c r="K939" s="205"/>
      <c r="L939" s="205"/>
      <c r="M939" s="113"/>
      <c r="N939" s="126" t="s">
        <v>98</v>
      </c>
      <c r="O939" s="126"/>
      <c r="P939" s="126"/>
      <c r="Q939" s="126"/>
      <c r="R939" s="126" t="s">
        <v>73</v>
      </c>
      <c r="S939" s="126"/>
      <c r="T939" s="126">
        <v>1000</v>
      </c>
      <c r="U939" s="126"/>
      <c r="V939" s="126"/>
      <c r="W939" s="13"/>
      <c r="X939" s="13"/>
      <c r="Y939" s="13"/>
      <c r="Z939" s="13"/>
      <c r="AA939" s="13"/>
      <c r="AB939" s="13"/>
      <c r="AC939" s="13"/>
      <c r="AD939" s="13"/>
      <c r="AE939" s="14"/>
      <c r="AF939" s="14"/>
    </row>
    <row r="940" spans="2:32" ht="13.5" hidden="1" customHeight="1">
      <c r="B940" s="13"/>
      <c r="C940" s="2"/>
      <c r="D940" s="13"/>
      <c r="E940" s="13"/>
      <c r="F940" s="13"/>
      <c r="G940" s="13"/>
      <c r="H940" s="13"/>
      <c r="I940" s="13"/>
      <c r="J940" s="29"/>
      <c r="K940" s="29"/>
      <c r="L940" s="6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4"/>
      <c r="AF940" s="14"/>
    </row>
    <row r="941" spans="2:32" ht="13.5" hidden="1" customHeight="1">
      <c r="B941" s="13"/>
      <c r="C941" s="2"/>
      <c r="D941" s="13"/>
      <c r="E941" s="13"/>
      <c r="F941" s="13"/>
      <c r="G941" s="13"/>
      <c r="H941" s="13"/>
      <c r="I941" s="13"/>
      <c r="J941" s="29"/>
      <c r="K941" s="205" t="s">
        <v>99</v>
      </c>
      <c r="L941" s="205"/>
      <c r="M941" s="173" t="s">
        <v>1</v>
      </c>
      <c r="N941" s="174" t="e">
        <f>N910</f>
        <v>#REF!</v>
      </c>
      <c r="O941" s="174"/>
      <c r="P941" s="174"/>
      <c r="Q941" s="146" t="s">
        <v>73</v>
      </c>
      <c r="R941" s="146"/>
      <c r="S941" s="174" t="e">
        <f>#REF!</f>
        <v>#REF!</v>
      </c>
      <c r="T941" s="174"/>
      <c r="U941" s="174"/>
      <c r="V941" s="13"/>
      <c r="W941" s="13"/>
      <c r="X941" s="13"/>
      <c r="Y941" s="13"/>
      <c r="Z941" s="13"/>
      <c r="AA941" s="13"/>
      <c r="AB941" s="13"/>
      <c r="AC941" s="13"/>
      <c r="AD941" s="13"/>
      <c r="AE941" s="14"/>
      <c r="AF941" s="14"/>
    </row>
    <row r="942" spans="2:32" ht="13.5" hidden="1" customHeight="1">
      <c r="B942" s="13"/>
      <c r="C942" s="2"/>
      <c r="D942" s="13"/>
      <c r="E942" s="13"/>
      <c r="F942" s="13"/>
      <c r="G942" s="13"/>
      <c r="H942" s="13"/>
      <c r="I942" s="13"/>
      <c r="J942" s="29"/>
      <c r="K942" s="205"/>
      <c r="L942" s="205"/>
      <c r="M942" s="113"/>
      <c r="N942" s="196" t="e">
        <f>(#REF!/1000)*(#REF!/1000)</f>
        <v>#REF!</v>
      </c>
      <c r="O942" s="196"/>
      <c r="P942" s="196"/>
      <c r="Q942" s="126" t="s">
        <v>73</v>
      </c>
      <c r="R942" s="126"/>
      <c r="S942" s="196">
        <v>1000</v>
      </c>
      <c r="T942" s="196"/>
      <c r="U942" s="196"/>
      <c r="V942" s="13"/>
      <c r="W942" s="13"/>
      <c r="X942" s="13"/>
      <c r="Y942" s="13"/>
      <c r="Z942" s="13"/>
      <c r="AA942" s="13"/>
      <c r="AB942" s="13"/>
      <c r="AC942" s="13"/>
      <c r="AD942" s="13"/>
      <c r="AE942" s="14"/>
      <c r="AF942" s="14"/>
    </row>
    <row r="943" spans="2:32" ht="13.5" hidden="1" customHeight="1">
      <c r="B943" s="13"/>
      <c r="C943" s="2"/>
      <c r="D943" s="13"/>
      <c r="E943" s="13"/>
      <c r="F943" s="13"/>
      <c r="G943" s="13"/>
      <c r="H943" s="13"/>
      <c r="I943" s="13"/>
      <c r="J943" s="29"/>
      <c r="K943" s="29"/>
      <c r="L943" s="6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4"/>
      <c r="AF943" s="14"/>
    </row>
    <row r="944" spans="2:32" ht="13.5" hidden="1" customHeight="1">
      <c r="B944" s="13"/>
      <c r="C944" s="2"/>
      <c r="D944" s="13"/>
      <c r="E944" s="13"/>
      <c r="F944" s="13"/>
      <c r="G944" s="13"/>
      <c r="H944" s="13"/>
      <c r="I944" s="13"/>
      <c r="J944" s="29"/>
      <c r="K944" s="205" t="s">
        <v>99</v>
      </c>
      <c r="L944" s="205"/>
      <c r="M944" s="173" t="s">
        <v>1</v>
      </c>
      <c r="N944" s="176" t="e">
        <f>(N941*S941)/(N942*S942)</f>
        <v>#REF!</v>
      </c>
      <c r="O944" s="176"/>
      <c r="P944" s="176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4"/>
      <c r="AF944" s="14"/>
    </row>
    <row r="945" spans="2:32" ht="13.5" hidden="1" customHeight="1">
      <c r="B945" s="13"/>
      <c r="C945" s="2"/>
      <c r="D945" s="13"/>
      <c r="E945" s="13"/>
      <c r="F945" s="13"/>
      <c r="G945" s="13"/>
      <c r="H945" s="13"/>
      <c r="I945" s="13"/>
      <c r="J945" s="29"/>
      <c r="K945" s="205"/>
      <c r="L945" s="205"/>
      <c r="M945" s="113"/>
      <c r="N945" s="176"/>
      <c r="O945" s="176"/>
      <c r="P945" s="176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4"/>
      <c r="AF945" s="14"/>
    </row>
    <row r="946" spans="2:32" ht="13.5" hidden="1" customHeight="1">
      <c r="B946" s="13"/>
      <c r="C946" s="2"/>
      <c r="D946" s="13"/>
      <c r="E946" s="13"/>
      <c r="F946" s="13"/>
      <c r="G946" s="13"/>
      <c r="H946" s="13"/>
      <c r="I946" s="13"/>
      <c r="J946" s="29"/>
      <c r="K946" s="29"/>
      <c r="L946" s="29"/>
      <c r="M946" s="13"/>
      <c r="N946" s="17"/>
      <c r="O946" s="17"/>
      <c r="P946" s="17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4"/>
      <c r="AF946" s="14"/>
    </row>
    <row r="947" spans="2:32" ht="13.5" hidden="1" customHeight="1">
      <c r="B947" s="13"/>
      <c r="C947" s="2"/>
      <c r="D947" s="13"/>
      <c r="E947" s="13"/>
      <c r="F947" s="13"/>
      <c r="G947" s="13"/>
      <c r="H947" s="13"/>
      <c r="I947" s="13"/>
      <c r="J947" s="29"/>
      <c r="K947" s="29"/>
      <c r="L947" s="6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4"/>
      <c r="AF947" s="14"/>
    </row>
    <row r="948" spans="2:32" ht="13.5" hidden="1" customHeight="1">
      <c r="B948" s="13"/>
      <c r="C948" s="2"/>
      <c r="D948" s="13"/>
      <c r="E948" s="13"/>
      <c r="F948" s="13"/>
      <c r="G948" s="13" t="s">
        <v>112</v>
      </c>
      <c r="H948" s="13"/>
      <c r="I948" s="13"/>
      <c r="J948" s="29"/>
      <c r="K948" s="29"/>
      <c r="L948" s="6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4"/>
      <c r="AF948" s="14"/>
    </row>
    <row r="949" spans="2:32" ht="13.5" hidden="1" customHeight="1">
      <c r="B949" s="13"/>
      <c r="C949" s="2"/>
      <c r="D949" s="13"/>
      <c r="E949" s="13"/>
      <c r="F949" s="13"/>
      <c r="G949" s="13"/>
      <c r="H949" s="13"/>
      <c r="I949" s="13"/>
      <c r="J949" s="29"/>
      <c r="K949" s="29"/>
      <c r="L949" s="6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4"/>
      <c r="AF949" s="14"/>
    </row>
    <row r="950" spans="2:32" s="11" customFormat="1" ht="13.5" hidden="1" customHeight="1">
      <c r="B950" s="9"/>
      <c r="C950" s="3"/>
      <c r="D950" s="9"/>
      <c r="E950" s="9"/>
      <c r="F950" s="9" t="s">
        <v>24</v>
      </c>
      <c r="G950" s="9" t="s">
        <v>79</v>
      </c>
      <c r="H950" s="9"/>
      <c r="I950" s="9"/>
      <c r="J950" s="28"/>
      <c r="K950" s="28"/>
      <c r="L950" s="7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10"/>
      <c r="AF950" s="10"/>
    </row>
    <row r="951" spans="2:32" ht="13.5" hidden="1" customHeight="1">
      <c r="B951" s="13"/>
      <c r="C951" s="2"/>
      <c r="D951" s="13"/>
      <c r="E951" s="13"/>
      <c r="F951" s="13"/>
      <c r="G951" s="13"/>
      <c r="H951" s="13"/>
      <c r="I951" s="13"/>
      <c r="J951" s="29"/>
      <c r="K951" s="29"/>
      <c r="L951" s="6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4"/>
      <c r="AF951" s="14"/>
    </row>
    <row r="952" spans="2:32" ht="13.5" hidden="1" customHeight="1">
      <c r="B952" s="13"/>
      <c r="C952" s="2"/>
      <c r="D952" s="13"/>
      <c r="E952" s="13"/>
      <c r="F952" s="13"/>
      <c r="G952" s="13"/>
      <c r="H952" s="13"/>
      <c r="I952" s="113" t="s">
        <v>111</v>
      </c>
      <c r="J952" s="113"/>
      <c r="K952" s="113"/>
      <c r="L952" s="113"/>
      <c r="M952" s="173" t="s">
        <v>1</v>
      </c>
      <c r="N952" s="197" t="s">
        <v>95</v>
      </c>
      <c r="O952" s="198"/>
      <c r="P952" s="198"/>
      <c r="Q952" s="208" t="s">
        <v>8</v>
      </c>
      <c r="R952" s="198"/>
      <c r="S952" s="198" t="s">
        <v>96</v>
      </c>
      <c r="T952" s="198"/>
      <c r="U952" s="198"/>
      <c r="V952" s="13"/>
      <c r="W952" s="13"/>
      <c r="X952" s="13"/>
      <c r="Y952" s="13"/>
      <c r="Z952" s="13"/>
      <c r="AA952" s="13"/>
      <c r="AB952" s="13"/>
      <c r="AC952" s="13"/>
      <c r="AD952" s="13"/>
      <c r="AE952" s="14"/>
      <c r="AF952" s="14"/>
    </row>
    <row r="953" spans="2:32" ht="13.5" hidden="1" customHeight="1">
      <c r="B953" s="13"/>
      <c r="C953" s="2"/>
      <c r="D953" s="13"/>
      <c r="E953" s="13"/>
      <c r="F953" s="13"/>
      <c r="G953" s="13"/>
      <c r="H953" s="13"/>
      <c r="I953" s="113"/>
      <c r="J953" s="113"/>
      <c r="K953" s="113"/>
      <c r="L953" s="113"/>
      <c r="M953" s="113"/>
      <c r="N953" s="199"/>
      <c r="O953" s="113"/>
      <c r="P953" s="113"/>
      <c r="Q953" s="113"/>
      <c r="R953" s="113"/>
      <c r="S953" s="113"/>
      <c r="T953" s="113"/>
      <c r="U953" s="113"/>
      <c r="V953" s="13"/>
      <c r="W953" s="13"/>
      <c r="X953" s="13"/>
      <c r="Y953" s="13"/>
      <c r="Z953" s="13"/>
      <c r="AA953" s="13"/>
      <c r="AB953" s="13"/>
      <c r="AC953" s="13"/>
      <c r="AD953" s="13"/>
      <c r="AE953" s="14"/>
      <c r="AF953" s="14"/>
    </row>
    <row r="954" spans="2:32" ht="13.5" hidden="1" customHeight="1">
      <c r="B954" s="13"/>
      <c r="C954" s="2"/>
      <c r="D954" s="13"/>
      <c r="E954" s="13"/>
      <c r="F954" s="13"/>
      <c r="G954" s="13"/>
      <c r="H954" s="13"/>
      <c r="I954" s="13"/>
      <c r="J954" s="29"/>
      <c r="K954" s="29"/>
      <c r="L954" s="6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4"/>
      <c r="AF954" s="14"/>
    </row>
    <row r="955" spans="2:32" ht="13.5" hidden="1" customHeight="1">
      <c r="B955" s="13"/>
      <c r="C955" s="2"/>
      <c r="D955" s="13"/>
      <c r="E955" s="13"/>
      <c r="F955" s="13"/>
      <c r="G955" s="13"/>
      <c r="H955" s="13"/>
      <c r="I955" s="113" t="s">
        <v>111</v>
      </c>
      <c r="J955" s="113"/>
      <c r="K955" s="113"/>
      <c r="L955" s="113"/>
      <c r="M955" s="173" t="s">
        <v>1</v>
      </c>
      <c r="N955" s="206" t="e">
        <f>N933*N933</f>
        <v>#REF!</v>
      </c>
      <c r="O955" s="195"/>
      <c r="P955" s="195"/>
      <c r="Q955" s="208" t="s">
        <v>8</v>
      </c>
      <c r="R955" s="198"/>
      <c r="S955" s="195" t="e">
        <f>N944*N944</f>
        <v>#REF!</v>
      </c>
      <c r="T955" s="195"/>
      <c r="U955" s="195"/>
      <c r="V955" s="13"/>
      <c r="W955" s="13"/>
      <c r="X955" s="13"/>
      <c r="Y955" s="13"/>
      <c r="Z955" s="13"/>
      <c r="AA955" s="13"/>
      <c r="AB955" s="13"/>
      <c r="AC955" s="13"/>
      <c r="AD955" s="13"/>
      <c r="AE955" s="14"/>
      <c r="AF955" s="14"/>
    </row>
    <row r="956" spans="2:32" ht="13.5" hidden="1" customHeight="1">
      <c r="B956" s="13"/>
      <c r="C956" s="2"/>
      <c r="D956" s="13"/>
      <c r="E956" s="13"/>
      <c r="F956" s="13"/>
      <c r="G956" s="13"/>
      <c r="H956" s="13"/>
      <c r="I956" s="113"/>
      <c r="J956" s="113"/>
      <c r="K956" s="113"/>
      <c r="L956" s="113"/>
      <c r="M956" s="113"/>
      <c r="N956" s="207"/>
      <c r="O956" s="176"/>
      <c r="P956" s="176"/>
      <c r="Q956" s="113"/>
      <c r="R956" s="113"/>
      <c r="S956" s="176"/>
      <c r="T956" s="176"/>
      <c r="U956" s="176"/>
      <c r="V956" s="13"/>
      <c r="W956" s="13"/>
      <c r="X956" s="13"/>
      <c r="Y956" s="13"/>
      <c r="Z956" s="13"/>
      <c r="AA956" s="13"/>
      <c r="AB956" s="13"/>
      <c r="AC956" s="13"/>
      <c r="AD956" s="13"/>
      <c r="AE956" s="14"/>
      <c r="AF956" s="14"/>
    </row>
    <row r="957" spans="2:32" ht="13.5" hidden="1" customHeight="1">
      <c r="B957" s="13"/>
      <c r="C957" s="2"/>
      <c r="D957" s="13"/>
      <c r="E957" s="13"/>
      <c r="F957" s="13"/>
      <c r="G957" s="13"/>
      <c r="H957" s="13"/>
      <c r="I957" s="13"/>
      <c r="J957" s="29"/>
      <c r="K957" s="29"/>
      <c r="L957" s="6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4"/>
      <c r="AF957" s="14"/>
    </row>
    <row r="958" spans="2:32" ht="13.5" hidden="1" customHeight="1">
      <c r="B958" s="13"/>
      <c r="C958" s="2"/>
      <c r="D958" s="13"/>
      <c r="E958" s="13"/>
      <c r="F958" s="13"/>
      <c r="G958" s="13"/>
      <c r="H958" s="13"/>
      <c r="I958" s="113" t="s">
        <v>111</v>
      </c>
      <c r="J958" s="113"/>
      <c r="K958" s="113"/>
      <c r="L958" s="113"/>
      <c r="M958" s="173" t="s">
        <v>1</v>
      </c>
      <c r="N958" s="176" t="e">
        <f>SQRT(N955+S955)</f>
        <v>#REF!</v>
      </c>
      <c r="O958" s="176"/>
      <c r="P958" s="176"/>
      <c r="Q958" s="176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4"/>
      <c r="AF958" s="14"/>
    </row>
    <row r="959" spans="2:32" ht="13.5" hidden="1" customHeight="1">
      <c r="B959" s="13"/>
      <c r="C959" s="2"/>
      <c r="D959" s="13"/>
      <c r="E959" s="13"/>
      <c r="F959" s="13"/>
      <c r="G959" s="13"/>
      <c r="H959" s="13"/>
      <c r="I959" s="113"/>
      <c r="J959" s="113"/>
      <c r="K959" s="113"/>
      <c r="L959" s="113"/>
      <c r="M959" s="113"/>
      <c r="N959" s="176"/>
      <c r="O959" s="176"/>
      <c r="P959" s="176"/>
      <c r="Q959" s="176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4"/>
      <c r="AF959" s="14"/>
    </row>
    <row r="960" spans="2:32" ht="13.5" hidden="1" customHeight="1">
      <c r="B960" s="21"/>
      <c r="C960" s="34"/>
      <c r="D960" s="21"/>
      <c r="E960" s="21"/>
      <c r="F960" s="21"/>
      <c r="G960" s="21"/>
      <c r="H960" s="21"/>
      <c r="I960" s="21"/>
      <c r="J960" s="35"/>
      <c r="K960" s="35"/>
      <c r="L960" s="35"/>
      <c r="M960" s="21"/>
      <c r="N960" s="36"/>
      <c r="O960" s="36"/>
      <c r="P960" s="36"/>
      <c r="Q960" s="36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3"/>
      <c r="AF960" s="14"/>
    </row>
    <row r="961" spans="2:32" ht="13.5" hidden="1" customHeight="1">
      <c r="B961" s="13"/>
      <c r="C961" s="2"/>
      <c r="D961" s="13"/>
      <c r="E961" s="13"/>
      <c r="F961" s="13"/>
      <c r="G961" s="13"/>
      <c r="H961" s="13"/>
      <c r="I961" s="13"/>
      <c r="J961" s="29"/>
      <c r="K961" s="29"/>
      <c r="L961" s="29"/>
      <c r="M961" s="13"/>
      <c r="N961" s="17"/>
      <c r="O961" s="17"/>
      <c r="P961" s="17"/>
      <c r="Q961" s="17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4"/>
      <c r="AF961" s="14"/>
    </row>
    <row r="962" spans="2:32" s="11" customFormat="1" ht="13.5" hidden="1" customHeight="1">
      <c r="B962" s="9"/>
      <c r="C962" s="9" t="s">
        <v>58</v>
      </c>
      <c r="D962" s="9"/>
      <c r="E962" s="9" t="s">
        <v>116</v>
      </c>
      <c r="F962" s="9"/>
      <c r="G962" s="20"/>
      <c r="H962" s="37"/>
      <c r="I962" s="7"/>
      <c r="J962" s="7"/>
      <c r="K962" s="7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10"/>
      <c r="AF962" s="10"/>
    </row>
    <row r="963" spans="2:32" ht="13.5" hidden="1" customHeight="1">
      <c r="B963" s="13"/>
      <c r="C963" s="13"/>
      <c r="D963" s="13"/>
      <c r="E963" s="13"/>
      <c r="F963" s="13"/>
      <c r="G963" s="18"/>
      <c r="H963" s="38"/>
      <c r="I963" s="6"/>
      <c r="J963" s="6"/>
      <c r="K963" s="6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4"/>
      <c r="AF963" s="14"/>
    </row>
    <row r="964" spans="2:32" ht="13.5" hidden="1" customHeight="1">
      <c r="B964" s="13"/>
      <c r="C964" s="13"/>
      <c r="D964" s="13"/>
      <c r="E964" s="125" t="s">
        <v>91</v>
      </c>
      <c r="F964" s="125"/>
      <c r="G964" s="30" t="s">
        <v>1</v>
      </c>
      <c r="H964" s="125" t="s">
        <v>92</v>
      </c>
      <c r="I964" s="125"/>
      <c r="J964" s="125"/>
      <c r="K964" s="175" t="s">
        <v>8</v>
      </c>
      <c r="L964" s="125"/>
      <c r="M964" s="125" t="s">
        <v>100</v>
      </c>
      <c r="N964" s="125"/>
      <c r="O964" s="125"/>
      <c r="P964" s="175" t="s">
        <v>8</v>
      </c>
      <c r="Q964" s="175"/>
      <c r="R964" s="125" t="s">
        <v>69</v>
      </c>
      <c r="S964" s="125"/>
      <c r="T964" s="125"/>
      <c r="U964" s="30" t="s">
        <v>8</v>
      </c>
      <c r="V964" s="128" t="s">
        <v>13</v>
      </c>
      <c r="W964" s="128"/>
      <c r="X964" s="128"/>
      <c r="Y964" s="30" t="s">
        <v>8</v>
      </c>
      <c r="Z964" s="128" t="s">
        <v>111</v>
      </c>
      <c r="AA964" s="128"/>
      <c r="AB964" s="128"/>
      <c r="AC964" s="128"/>
      <c r="AD964" s="2"/>
      <c r="AE964" s="14"/>
      <c r="AF964" s="14"/>
    </row>
    <row r="965" spans="2:32" ht="13.5" hidden="1" customHeight="1">
      <c r="B965" s="13"/>
      <c r="C965" s="13"/>
      <c r="D965" s="13"/>
      <c r="E965" s="125" t="s">
        <v>91</v>
      </c>
      <c r="F965" s="125"/>
      <c r="G965" s="30" t="s">
        <v>1</v>
      </c>
      <c r="H965" s="177" t="e">
        <f>#REF!</f>
        <v>#REF!</v>
      </c>
      <c r="I965" s="177"/>
      <c r="J965" s="177"/>
      <c r="K965" s="175" t="s">
        <v>8</v>
      </c>
      <c r="L965" s="125"/>
      <c r="M965" s="177" t="e">
        <f>#REF!</f>
        <v>#REF!</v>
      </c>
      <c r="N965" s="177"/>
      <c r="O965" s="177"/>
      <c r="P965" s="175" t="s">
        <v>8</v>
      </c>
      <c r="Q965" s="175"/>
      <c r="R965" s="177" t="e">
        <f>#REF!</f>
        <v>#REF!</v>
      </c>
      <c r="S965" s="177"/>
      <c r="T965" s="177"/>
      <c r="U965" s="30" t="s">
        <v>8</v>
      </c>
      <c r="V965" s="177">
        <v>1.7023197442218599E-2</v>
      </c>
      <c r="W965" s="177"/>
      <c r="X965" s="177"/>
      <c r="Y965" s="30" t="s">
        <v>8</v>
      </c>
      <c r="Z965" s="177" t="e">
        <f>N958</f>
        <v>#REF!</v>
      </c>
      <c r="AA965" s="177"/>
      <c r="AB965" s="177"/>
      <c r="AC965" s="177"/>
      <c r="AD965" s="31"/>
      <c r="AE965" s="14"/>
      <c r="AF965" s="14"/>
    </row>
    <row r="966" spans="2:32" ht="13.5" hidden="1" customHeight="1">
      <c r="B966" s="13"/>
      <c r="C966" s="13"/>
      <c r="D966" s="13"/>
      <c r="E966" s="125" t="s">
        <v>91</v>
      </c>
      <c r="F966" s="125"/>
      <c r="G966" s="30" t="s">
        <v>1</v>
      </c>
      <c r="H966" s="177" t="e">
        <f>H965+M965+R965+V965+Z965</f>
        <v>#REF!</v>
      </c>
      <c r="I966" s="177"/>
      <c r="J966" s="177"/>
      <c r="K966" s="175"/>
      <c r="L966" s="125"/>
      <c r="M966" s="125"/>
      <c r="N966" s="125"/>
      <c r="O966" s="125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4"/>
      <c r="AF966" s="14"/>
    </row>
    <row r="967" spans="2:32" ht="13.5" hidden="1" customHeight="1">
      <c r="B967" s="13"/>
      <c r="C967" s="2"/>
      <c r="D967" s="13"/>
      <c r="E967" s="13"/>
      <c r="F967" s="13"/>
      <c r="G967" s="13"/>
      <c r="H967" s="13"/>
      <c r="I967" s="13"/>
      <c r="J967" s="29"/>
      <c r="K967" s="29"/>
      <c r="L967" s="29"/>
      <c r="M967" s="13"/>
      <c r="N967" s="17"/>
      <c r="O967" s="17"/>
      <c r="P967" s="17"/>
      <c r="Q967" s="17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4"/>
      <c r="AF967" s="14"/>
    </row>
    <row r="968" spans="2:32" ht="13.5" hidden="1" customHeight="1">
      <c r="B968" s="13"/>
      <c r="C968" s="2"/>
      <c r="D968" s="13"/>
      <c r="E968" s="13"/>
      <c r="F968" s="13"/>
      <c r="G968" s="13"/>
      <c r="H968" s="13"/>
      <c r="I968" s="13"/>
      <c r="J968" s="29"/>
      <c r="K968" s="29"/>
      <c r="L968" s="29"/>
      <c r="M968" s="13"/>
      <c r="N968" s="17"/>
      <c r="O968" s="17"/>
      <c r="P968" s="17"/>
      <c r="Q968" s="17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4"/>
      <c r="AF968" s="14"/>
    </row>
    <row r="969" spans="2:32" s="11" customFormat="1" ht="13.5" hidden="1" customHeight="1">
      <c r="B969" s="9"/>
      <c r="C969" s="3"/>
      <c r="D969" s="9"/>
      <c r="E969" s="9"/>
      <c r="F969" s="9" t="s">
        <v>59</v>
      </c>
      <c r="G969" s="9" t="s">
        <v>83</v>
      </c>
      <c r="H969" s="9"/>
      <c r="I969" s="9"/>
      <c r="J969" s="28"/>
      <c r="K969" s="28"/>
      <c r="L969" s="7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10"/>
      <c r="AF969" s="10"/>
    </row>
    <row r="970" spans="2:32" ht="13.5" hidden="1" customHeight="1">
      <c r="B970" s="13"/>
      <c r="C970" s="2"/>
      <c r="D970" s="13"/>
      <c r="E970" s="13"/>
      <c r="F970" s="13"/>
      <c r="G970" s="13"/>
      <c r="H970" s="13"/>
      <c r="I970" s="13"/>
      <c r="J970" s="29"/>
      <c r="K970" s="29"/>
      <c r="L970" s="6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4"/>
      <c r="AF970" s="14"/>
    </row>
    <row r="971" spans="2:32" ht="13.5" hidden="1" customHeight="1">
      <c r="B971" s="13"/>
      <c r="C971" s="2"/>
      <c r="D971" s="13"/>
      <c r="E971" s="13"/>
      <c r="F971" s="13"/>
      <c r="G971" s="13"/>
      <c r="H971" s="13"/>
      <c r="I971" s="13"/>
      <c r="J971" s="205" t="s">
        <v>93</v>
      </c>
      <c r="K971" s="205"/>
      <c r="L971" s="173" t="s">
        <v>1</v>
      </c>
      <c r="M971" s="146" t="s">
        <v>72</v>
      </c>
      <c r="N971" s="146"/>
      <c r="O971" s="146"/>
      <c r="P971" s="146"/>
      <c r="Q971" s="146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4"/>
      <c r="AF971" s="14"/>
    </row>
    <row r="972" spans="2:32" ht="13.5" hidden="1" customHeight="1">
      <c r="B972" s="13"/>
      <c r="C972" s="2"/>
      <c r="D972" s="13"/>
      <c r="E972" s="13"/>
      <c r="F972" s="13"/>
      <c r="G972" s="13"/>
      <c r="H972" s="13"/>
      <c r="I972" s="13"/>
      <c r="J972" s="205"/>
      <c r="K972" s="205"/>
      <c r="L972" s="173"/>
      <c r="M972" s="126" t="s">
        <v>70</v>
      </c>
      <c r="N972" s="126"/>
      <c r="O972" s="126"/>
      <c r="P972" s="126"/>
      <c r="Q972" s="126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4"/>
      <c r="AF972" s="14"/>
    </row>
    <row r="973" spans="2:32" ht="13.5" hidden="1" customHeight="1">
      <c r="B973" s="13"/>
      <c r="C973" s="2"/>
      <c r="D973" s="13"/>
      <c r="E973" s="13"/>
      <c r="F973" s="13"/>
      <c r="G973" s="13"/>
      <c r="H973" s="13"/>
      <c r="I973" s="13"/>
      <c r="J973" s="29"/>
      <c r="K973" s="29"/>
      <c r="L973" s="6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4"/>
      <c r="AF973" s="14"/>
    </row>
    <row r="974" spans="2:32" ht="13.5" hidden="1" customHeight="1">
      <c r="B974" s="13"/>
      <c r="C974" s="2"/>
      <c r="D974" s="13"/>
      <c r="E974" s="13"/>
      <c r="F974" s="13"/>
      <c r="G974" s="13"/>
      <c r="H974" s="13"/>
      <c r="I974" s="13"/>
      <c r="J974" s="205" t="s">
        <v>93</v>
      </c>
      <c r="K974" s="205"/>
      <c r="L974" s="173" t="s">
        <v>1</v>
      </c>
      <c r="M974" s="174" t="e">
        <f>#REF!</f>
        <v>#REF!</v>
      </c>
      <c r="N974" s="174"/>
      <c r="O974" s="174"/>
      <c r="P974" s="174"/>
      <c r="Q974" s="174"/>
      <c r="R974" s="174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4"/>
      <c r="AF974" s="14"/>
    </row>
    <row r="975" spans="2:32" ht="13.5" hidden="1" customHeight="1">
      <c r="B975" s="13"/>
      <c r="C975" s="2"/>
      <c r="D975" s="13"/>
      <c r="E975" s="13"/>
      <c r="F975" s="13"/>
      <c r="G975" s="13"/>
      <c r="H975" s="13"/>
      <c r="I975" s="13"/>
      <c r="J975" s="205"/>
      <c r="K975" s="205"/>
      <c r="L975" s="173"/>
      <c r="M975" s="31">
        <v>4</v>
      </c>
      <c r="N975" s="6" t="s">
        <v>73</v>
      </c>
      <c r="O975" s="211">
        <v>800</v>
      </c>
      <c r="P975" s="211"/>
      <c r="Q975" s="211"/>
      <c r="R975" s="211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4"/>
      <c r="AF975" s="14"/>
    </row>
    <row r="976" spans="2:32" ht="13.5" hidden="1" customHeight="1">
      <c r="B976" s="13"/>
      <c r="C976" s="2"/>
      <c r="D976" s="13"/>
      <c r="E976" s="13"/>
      <c r="F976" s="13"/>
      <c r="G976" s="13"/>
      <c r="H976" s="13"/>
      <c r="I976" s="13"/>
      <c r="J976" s="29"/>
      <c r="K976" s="29"/>
      <c r="L976" s="6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4"/>
      <c r="AF976" s="14"/>
    </row>
    <row r="977" spans="2:32" ht="13.5" hidden="1" customHeight="1">
      <c r="B977" s="13"/>
      <c r="C977" s="2"/>
      <c r="D977" s="13"/>
      <c r="E977" s="13"/>
      <c r="F977" s="13"/>
      <c r="G977" s="13"/>
      <c r="H977" s="13"/>
      <c r="I977" s="13"/>
      <c r="J977" s="205" t="s">
        <v>93</v>
      </c>
      <c r="K977" s="205"/>
      <c r="L977" s="173" t="s">
        <v>1</v>
      </c>
      <c r="M977" s="113"/>
      <c r="N977" s="176" t="e">
        <f>M974/M975/O975</f>
        <v>#REF!</v>
      </c>
      <c r="O977" s="176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4"/>
      <c r="AF977" s="14"/>
    </row>
    <row r="978" spans="2:32" ht="13.5" hidden="1" customHeight="1">
      <c r="B978" s="13"/>
      <c r="C978" s="2"/>
      <c r="D978" s="13"/>
      <c r="E978" s="13"/>
      <c r="F978" s="13"/>
      <c r="G978" s="13"/>
      <c r="H978" s="13"/>
      <c r="I978" s="13"/>
      <c r="J978" s="205"/>
      <c r="K978" s="205"/>
      <c r="L978" s="173"/>
      <c r="M978" s="113"/>
      <c r="N978" s="176"/>
      <c r="O978" s="176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4"/>
      <c r="AF978" s="14"/>
    </row>
    <row r="979" spans="2:32" ht="13.5" hidden="1" customHeight="1">
      <c r="B979" s="13"/>
      <c r="C979" s="2"/>
      <c r="D979" s="13"/>
      <c r="E979" s="13"/>
      <c r="F979" s="13"/>
      <c r="G979" s="13"/>
      <c r="H979" s="13"/>
      <c r="I979" s="13"/>
      <c r="J979" s="29"/>
      <c r="K979" s="29"/>
      <c r="L979" s="29"/>
      <c r="M979" s="13"/>
      <c r="N979" s="17"/>
      <c r="O979" s="17"/>
      <c r="P979" s="17"/>
      <c r="Q979" s="17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4"/>
      <c r="AF979" s="14"/>
    </row>
    <row r="980" spans="2:32" ht="13.5" hidden="1" customHeight="1">
      <c r="B980" s="13"/>
      <c r="C980" s="2"/>
      <c r="D980" s="13"/>
      <c r="E980" s="13"/>
      <c r="F980" s="13"/>
      <c r="G980" s="13"/>
      <c r="H980" s="13"/>
      <c r="I980" s="13"/>
      <c r="J980" s="29"/>
      <c r="K980" s="29"/>
      <c r="L980" s="29"/>
      <c r="M980" s="13"/>
      <c r="N980" s="17"/>
      <c r="O980" s="17"/>
      <c r="P980" s="17"/>
      <c r="Q980" s="17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4"/>
      <c r="AF980" s="14"/>
    </row>
    <row r="981" spans="2:32" s="11" customFormat="1" ht="13.5" hidden="1" customHeight="1">
      <c r="B981" s="9"/>
      <c r="C981" s="3"/>
      <c r="D981" s="9"/>
      <c r="E981" s="9"/>
      <c r="F981" s="9" t="s">
        <v>84</v>
      </c>
      <c r="G981" s="209" t="s">
        <v>150</v>
      </c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10"/>
      <c r="AF981" s="10"/>
    </row>
    <row r="982" spans="2:32" ht="13.5" hidden="1" customHeight="1">
      <c r="B982" s="13"/>
      <c r="C982" s="2"/>
      <c r="D982" s="13"/>
      <c r="E982" s="13"/>
      <c r="F982" s="13"/>
      <c r="G982" s="13"/>
      <c r="H982" s="13"/>
      <c r="I982" s="13"/>
      <c r="J982" s="29"/>
      <c r="K982" s="29"/>
      <c r="L982" s="6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4"/>
      <c r="AF982" s="14"/>
    </row>
    <row r="983" spans="2:32" ht="13.5" hidden="1" customHeight="1">
      <c r="B983" s="13"/>
      <c r="C983" s="2"/>
      <c r="D983" s="13"/>
      <c r="E983" s="13"/>
      <c r="F983" s="13"/>
      <c r="G983" s="13"/>
      <c r="H983" s="13"/>
      <c r="I983" s="13"/>
      <c r="J983" s="113" t="s">
        <v>113</v>
      </c>
      <c r="K983" s="113"/>
      <c r="L983" s="113"/>
      <c r="M983" s="173" t="s">
        <v>1</v>
      </c>
      <c r="N983" s="146" t="s">
        <v>91</v>
      </c>
      <c r="O983" s="146"/>
      <c r="P983" s="146"/>
      <c r="Q983" s="146" t="s">
        <v>73</v>
      </c>
      <c r="R983" s="146"/>
      <c r="S983" s="146" t="s">
        <v>93</v>
      </c>
      <c r="T983" s="146"/>
      <c r="U983" s="146"/>
      <c r="V983" s="13"/>
      <c r="W983" s="13"/>
      <c r="X983" s="13"/>
      <c r="Y983" s="13"/>
      <c r="Z983" s="13"/>
      <c r="AA983" s="13"/>
      <c r="AB983" s="13"/>
      <c r="AC983" s="13"/>
      <c r="AD983" s="13"/>
      <c r="AE983" s="14"/>
      <c r="AF983" s="14"/>
    </row>
    <row r="984" spans="2:32" ht="13.5" hidden="1" customHeight="1">
      <c r="B984" s="13"/>
      <c r="C984" s="2"/>
      <c r="D984" s="13"/>
      <c r="E984" s="13"/>
      <c r="F984" s="13"/>
      <c r="G984" s="13"/>
      <c r="H984" s="13"/>
      <c r="I984" s="13"/>
      <c r="J984" s="113"/>
      <c r="K984" s="113"/>
      <c r="L984" s="113"/>
      <c r="M984" s="113"/>
      <c r="N984" s="125" t="s">
        <v>91</v>
      </c>
      <c r="O984" s="125"/>
      <c r="P984" s="125"/>
      <c r="Q984" s="175" t="s">
        <v>8</v>
      </c>
      <c r="R984" s="125"/>
      <c r="S984" s="125" t="s">
        <v>93</v>
      </c>
      <c r="T984" s="125"/>
      <c r="U984" s="125"/>
      <c r="V984" s="13"/>
      <c r="W984" s="13"/>
      <c r="X984" s="13"/>
      <c r="Y984" s="13"/>
      <c r="Z984" s="13"/>
      <c r="AA984" s="13"/>
      <c r="AB984" s="13"/>
      <c r="AC984" s="13"/>
      <c r="AD984" s="13"/>
      <c r="AE984" s="14"/>
      <c r="AF984" s="14"/>
    </row>
    <row r="985" spans="2:32" ht="13.5" hidden="1" customHeight="1">
      <c r="B985" s="13"/>
      <c r="C985" s="2"/>
      <c r="D985" s="13"/>
      <c r="E985" s="13"/>
      <c r="F985" s="13"/>
      <c r="G985" s="13"/>
      <c r="H985" s="13"/>
      <c r="I985" s="13"/>
      <c r="J985" s="29"/>
      <c r="K985" s="29"/>
      <c r="L985" s="6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4"/>
      <c r="AF985" s="14"/>
    </row>
    <row r="986" spans="2:32" ht="13.5" hidden="1" customHeight="1">
      <c r="B986" s="13"/>
      <c r="C986" s="2"/>
      <c r="D986" s="13"/>
      <c r="E986" s="13"/>
      <c r="F986" s="13"/>
      <c r="G986" s="13"/>
      <c r="H986" s="13"/>
      <c r="I986" s="13"/>
      <c r="J986" s="113" t="s">
        <v>113</v>
      </c>
      <c r="K986" s="113"/>
      <c r="L986" s="113"/>
      <c r="M986" s="173" t="s">
        <v>1</v>
      </c>
      <c r="N986" s="174" t="e">
        <f>H966</f>
        <v>#REF!</v>
      </c>
      <c r="O986" s="174"/>
      <c r="P986" s="174"/>
      <c r="Q986" s="146" t="s">
        <v>73</v>
      </c>
      <c r="R986" s="146"/>
      <c r="S986" s="174" t="e">
        <f>N977</f>
        <v>#REF!</v>
      </c>
      <c r="T986" s="174"/>
      <c r="U986" s="174"/>
      <c r="V986" s="13"/>
      <c r="W986" s="13"/>
      <c r="X986" s="13"/>
      <c r="Y986" s="13"/>
      <c r="Z986" s="13"/>
      <c r="AA986" s="13"/>
      <c r="AB986" s="13"/>
      <c r="AC986" s="13"/>
      <c r="AD986" s="13"/>
      <c r="AE986" s="14"/>
      <c r="AF986" s="14"/>
    </row>
    <row r="987" spans="2:32" ht="13.5" hidden="1" customHeight="1">
      <c r="B987" s="13"/>
      <c r="C987" s="2"/>
      <c r="D987" s="13"/>
      <c r="E987" s="13"/>
      <c r="F987" s="13"/>
      <c r="G987" s="13"/>
      <c r="H987" s="13"/>
      <c r="I987" s="13"/>
      <c r="J987" s="113"/>
      <c r="K987" s="113"/>
      <c r="L987" s="113"/>
      <c r="M987" s="113"/>
      <c r="N987" s="196" t="e">
        <f>H966</f>
        <v>#REF!</v>
      </c>
      <c r="O987" s="196"/>
      <c r="P987" s="196"/>
      <c r="Q987" s="210" t="s">
        <v>8</v>
      </c>
      <c r="R987" s="126"/>
      <c r="S987" s="196" t="e">
        <f>N977</f>
        <v>#REF!</v>
      </c>
      <c r="T987" s="196"/>
      <c r="U987" s="196"/>
      <c r="V987" s="13"/>
      <c r="W987" s="13"/>
      <c r="X987" s="13"/>
      <c r="Y987" s="13"/>
      <c r="Z987" s="13"/>
      <c r="AA987" s="13"/>
      <c r="AB987" s="13"/>
      <c r="AC987" s="13"/>
      <c r="AD987" s="13"/>
      <c r="AE987" s="14"/>
      <c r="AF987" s="14"/>
    </row>
    <row r="988" spans="2:32" ht="13.5" hidden="1" customHeight="1">
      <c r="B988" s="13"/>
      <c r="C988" s="2"/>
      <c r="D988" s="13"/>
      <c r="E988" s="13"/>
      <c r="F988" s="13"/>
      <c r="G988" s="13"/>
      <c r="H988" s="13"/>
      <c r="I988" s="13"/>
      <c r="J988" s="29"/>
      <c r="K988" s="29"/>
      <c r="L988" s="6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4"/>
      <c r="AF988" s="14"/>
    </row>
    <row r="989" spans="2:32" ht="13.5" hidden="1" customHeight="1">
      <c r="B989" s="13"/>
      <c r="C989" s="2"/>
      <c r="D989" s="13"/>
      <c r="E989" s="13"/>
      <c r="F989" s="13"/>
      <c r="G989" s="13"/>
      <c r="H989" s="13"/>
      <c r="I989" s="13"/>
      <c r="J989" s="113" t="s">
        <v>113</v>
      </c>
      <c r="K989" s="113"/>
      <c r="L989" s="113"/>
      <c r="M989" s="173" t="s">
        <v>1</v>
      </c>
      <c r="N989" s="176" t="e">
        <f>(N986*S986)/(N987+S987)</f>
        <v>#REF!</v>
      </c>
      <c r="O989" s="176"/>
      <c r="P989" s="176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4"/>
      <c r="AF989" s="14"/>
    </row>
    <row r="990" spans="2:32" ht="13.5" hidden="1" customHeight="1">
      <c r="B990" s="13"/>
      <c r="C990" s="2"/>
      <c r="D990" s="13"/>
      <c r="E990" s="13"/>
      <c r="F990" s="13"/>
      <c r="G990" s="13"/>
      <c r="H990" s="13"/>
      <c r="I990" s="13"/>
      <c r="J990" s="113"/>
      <c r="K990" s="113"/>
      <c r="L990" s="113"/>
      <c r="M990" s="113"/>
      <c r="N990" s="176"/>
      <c r="O990" s="176"/>
      <c r="P990" s="176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4"/>
      <c r="AF990" s="14"/>
    </row>
    <row r="991" spans="2:32" ht="13.5" hidden="1" customHeight="1">
      <c r="B991" s="13"/>
      <c r="C991" s="2"/>
      <c r="D991" s="13"/>
      <c r="E991" s="13"/>
      <c r="F991" s="13"/>
      <c r="G991" s="13"/>
      <c r="H991" s="13"/>
      <c r="I991" s="13"/>
      <c r="J991" s="17"/>
      <c r="K991" s="17"/>
      <c r="L991" s="17"/>
      <c r="M991" s="17"/>
      <c r="N991" s="17"/>
      <c r="O991" s="17"/>
      <c r="P991" s="17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4"/>
      <c r="AF991" s="14"/>
    </row>
    <row r="992" spans="2:32" ht="13.5" hidden="1" customHeight="1">
      <c r="B992" s="13"/>
      <c r="C992" s="2"/>
      <c r="D992" s="13"/>
      <c r="E992" s="13"/>
      <c r="F992" s="13"/>
      <c r="G992" s="13"/>
      <c r="H992" s="13"/>
      <c r="I992" s="13"/>
      <c r="J992" s="29"/>
      <c r="K992" s="29"/>
      <c r="L992" s="29"/>
      <c r="M992" s="13"/>
      <c r="N992" s="17"/>
      <c r="O992" s="17"/>
      <c r="P992" s="17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4"/>
      <c r="AF992" s="14"/>
    </row>
    <row r="993" spans="2:32" s="11" customFormat="1" ht="13.5" hidden="1" customHeight="1">
      <c r="B993" s="9"/>
      <c r="C993" s="3"/>
      <c r="D993" s="9"/>
      <c r="E993" s="9"/>
      <c r="F993" s="9" t="s">
        <v>85</v>
      </c>
      <c r="G993" s="9" t="s">
        <v>114</v>
      </c>
      <c r="H993" s="9"/>
      <c r="I993" s="9"/>
      <c r="J993" s="28"/>
      <c r="K993" s="28"/>
      <c r="L993" s="28"/>
      <c r="M993" s="9"/>
      <c r="N993" s="16"/>
      <c r="O993" s="16"/>
      <c r="P993" s="16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10"/>
      <c r="AF993" s="10"/>
    </row>
    <row r="994" spans="2:32" ht="13.5" hidden="1" customHeight="1">
      <c r="B994" s="13"/>
      <c r="C994" s="2"/>
      <c r="D994" s="13"/>
      <c r="E994" s="13"/>
      <c r="F994" s="13"/>
      <c r="G994" s="13"/>
      <c r="H994" s="13"/>
      <c r="I994" s="13"/>
      <c r="J994" s="29"/>
      <c r="K994" s="29"/>
      <c r="L994" s="6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4"/>
      <c r="AF994" s="14"/>
    </row>
    <row r="995" spans="2:32" ht="13.5" hidden="1" customHeight="1">
      <c r="B995" s="13"/>
      <c r="C995" s="2"/>
      <c r="D995" s="13"/>
      <c r="E995" s="13"/>
      <c r="F995" s="13"/>
      <c r="G995" s="13"/>
      <c r="H995" s="13"/>
      <c r="I995" s="13"/>
      <c r="J995" s="113" t="s">
        <v>115</v>
      </c>
      <c r="K995" s="113"/>
      <c r="L995" s="113"/>
      <c r="M995" s="173" t="s">
        <v>1</v>
      </c>
      <c r="N995" s="146" t="s">
        <v>74</v>
      </c>
      <c r="O995" s="146"/>
      <c r="P995" s="146"/>
      <c r="Q995" s="146"/>
      <c r="R995" s="146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4"/>
      <c r="AF995" s="14"/>
    </row>
    <row r="996" spans="2:32" ht="13.5" hidden="1" customHeight="1">
      <c r="B996" s="13"/>
      <c r="C996" s="2"/>
      <c r="D996" s="13"/>
      <c r="E996" s="13"/>
      <c r="F996" s="13"/>
      <c r="G996" s="13"/>
      <c r="H996" s="13"/>
      <c r="I996" s="13"/>
      <c r="J996" s="113"/>
      <c r="K996" s="113"/>
      <c r="L996" s="113"/>
      <c r="M996" s="113"/>
      <c r="N996" s="125" t="s">
        <v>113</v>
      </c>
      <c r="O996" s="125"/>
      <c r="P996" s="125"/>
      <c r="Q996" s="125"/>
      <c r="R996" s="125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4"/>
      <c r="AF996" s="14"/>
    </row>
    <row r="997" spans="2:32" ht="13.5" hidden="1" customHeight="1">
      <c r="B997" s="13"/>
      <c r="C997" s="2"/>
      <c r="D997" s="13"/>
      <c r="E997" s="13"/>
      <c r="F997" s="13"/>
      <c r="G997" s="13"/>
      <c r="H997" s="13"/>
      <c r="I997" s="13"/>
      <c r="J997" s="29"/>
      <c r="K997" s="29"/>
      <c r="L997" s="6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4"/>
      <c r="AF997" s="14"/>
    </row>
    <row r="998" spans="2:32" ht="13.5" hidden="1" customHeight="1">
      <c r="B998" s="13"/>
      <c r="C998" s="2"/>
      <c r="D998" s="13"/>
      <c r="E998" s="13"/>
      <c r="F998" s="13"/>
      <c r="G998" s="13"/>
      <c r="H998" s="13"/>
      <c r="I998" s="13"/>
      <c r="J998" s="113" t="s">
        <v>115</v>
      </c>
      <c r="K998" s="113"/>
      <c r="L998" s="113"/>
      <c r="M998" s="13"/>
      <c r="N998" s="174">
        <f>$K$81</f>
        <v>0</v>
      </c>
      <c r="O998" s="174"/>
      <c r="P998" s="174"/>
      <c r="Q998" s="174"/>
      <c r="R998" s="174"/>
      <c r="S998" s="174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4"/>
      <c r="AF998" s="14"/>
    </row>
    <row r="999" spans="2:32" ht="13.5" hidden="1" customHeight="1">
      <c r="B999" s="13"/>
      <c r="C999" s="2"/>
      <c r="D999" s="13"/>
      <c r="E999" s="13"/>
      <c r="F999" s="13"/>
      <c r="G999" s="13"/>
      <c r="H999" s="13"/>
      <c r="I999" s="13"/>
      <c r="J999" s="113"/>
      <c r="K999" s="113"/>
      <c r="L999" s="113"/>
      <c r="M999" s="13"/>
      <c r="N999" s="196" t="e">
        <f>N989</f>
        <v>#REF!</v>
      </c>
      <c r="O999" s="196"/>
      <c r="P999" s="196"/>
      <c r="Q999" s="196"/>
      <c r="R999" s="196"/>
      <c r="S999" s="196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4"/>
      <c r="AF999" s="14"/>
    </row>
    <row r="1000" spans="2:32" ht="13.5" hidden="1" customHeight="1">
      <c r="B1000" s="13"/>
      <c r="C1000" s="2"/>
      <c r="D1000" s="13"/>
      <c r="E1000" s="13"/>
      <c r="F1000" s="13"/>
      <c r="G1000" s="13"/>
      <c r="H1000" s="13"/>
      <c r="I1000" s="13"/>
      <c r="J1000" s="29"/>
      <c r="K1000" s="29"/>
      <c r="L1000" s="6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4"/>
      <c r="AF1000" s="14"/>
    </row>
    <row r="1001" spans="2:32" ht="13.5" hidden="1" customHeight="1">
      <c r="B1001" s="13"/>
      <c r="C1001" s="2"/>
      <c r="D1001" s="13"/>
      <c r="E1001" s="13"/>
      <c r="F1001" s="13"/>
      <c r="G1001" s="13"/>
      <c r="H1001" s="13"/>
      <c r="I1001" s="13"/>
      <c r="J1001" s="113" t="s">
        <v>115</v>
      </c>
      <c r="K1001" s="113"/>
      <c r="L1001" s="113"/>
      <c r="M1001" s="113" t="s">
        <v>1</v>
      </c>
      <c r="N1001" s="113"/>
      <c r="O1001" s="176" t="e">
        <f>N998/N999</f>
        <v>#REF!</v>
      </c>
      <c r="P1001" s="176"/>
      <c r="Q1001" s="176"/>
      <c r="R1001" s="176"/>
      <c r="S1001" s="13"/>
      <c r="T1001" s="113" t="s">
        <v>75</v>
      </c>
      <c r="U1001" s="1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4"/>
      <c r="AF1001" s="14"/>
    </row>
    <row r="1002" spans="2:32" ht="13.5" hidden="1" customHeight="1">
      <c r="B1002" s="13"/>
      <c r="C1002" s="2"/>
      <c r="D1002" s="13"/>
      <c r="E1002" s="13"/>
      <c r="F1002" s="13"/>
      <c r="G1002" s="13"/>
      <c r="H1002" s="13"/>
      <c r="I1002" s="13"/>
      <c r="J1002" s="113"/>
      <c r="K1002" s="113"/>
      <c r="L1002" s="113"/>
      <c r="M1002" s="113"/>
      <c r="N1002" s="113"/>
      <c r="O1002" s="176"/>
      <c r="P1002" s="176"/>
      <c r="Q1002" s="176"/>
      <c r="R1002" s="176"/>
      <c r="S1002" s="13"/>
      <c r="T1002" s="113"/>
      <c r="U1002" s="1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4"/>
      <c r="AF1002" s="14"/>
    </row>
    <row r="1003" spans="2:32" ht="13.5" hidden="1" customHeight="1">
      <c r="B1003" s="13"/>
      <c r="C1003" s="2"/>
      <c r="D1003" s="13"/>
      <c r="E1003" s="13"/>
      <c r="F1003" s="13"/>
      <c r="G1003" s="13"/>
      <c r="H1003" s="13"/>
      <c r="I1003" s="13"/>
      <c r="J1003" s="29"/>
      <c r="K1003" s="29"/>
      <c r="L1003" s="6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4"/>
      <c r="AF1003" s="14"/>
    </row>
    <row r="1004" spans="2:32" ht="13.5" hidden="1" customHeight="1">
      <c r="B1004" s="13"/>
      <c r="C1004" s="2"/>
      <c r="D1004" s="13"/>
      <c r="E1004" s="13"/>
      <c r="F1004" s="13"/>
      <c r="G1004" s="13"/>
      <c r="H1004" s="13"/>
      <c r="I1004" s="13"/>
      <c r="J1004" s="29"/>
      <c r="K1004" s="29"/>
      <c r="L1004" s="6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4"/>
      <c r="AF1004" s="14"/>
    </row>
    <row r="1005" spans="2:32" ht="13.5" hidden="1" customHeight="1">
      <c r="B1005" s="13"/>
      <c r="C1005" s="2"/>
      <c r="D1005" s="13"/>
      <c r="E1005" s="13"/>
      <c r="F1005" s="13"/>
      <c r="G1005" s="13"/>
      <c r="H1005" s="13"/>
      <c r="I1005" s="13"/>
      <c r="J1005" s="29"/>
      <c r="K1005" s="29"/>
      <c r="L1005" s="6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4"/>
      <c r="AF1005" s="14"/>
    </row>
    <row r="1006" spans="2:32" ht="13.5" hidden="1" customHeight="1">
      <c r="B1006" s="13"/>
      <c r="C1006" s="2"/>
      <c r="D1006" s="13"/>
      <c r="E1006" s="13"/>
      <c r="F1006" s="13"/>
      <c r="G1006" s="13"/>
      <c r="H1006" s="13"/>
      <c r="I1006" s="13"/>
      <c r="J1006" s="29"/>
      <c r="K1006" s="29"/>
      <c r="L1006" s="6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4"/>
      <c r="AF1006" s="14"/>
    </row>
    <row r="1007" spans="2:32" ht="13.5" hidden="1" customHeight="1">
      <c r="B1007" s="13"/>
      <c r="C1007" s="2"/>
      <c r="D1007" s="13"/>
      <c r="E1007" s="13"/>
      <c r="F1007" s="13"/>
      <c r="G1007" s="13"/>
      <c r="H1007" s="13"/>
      <c r="I1007" s="13"/>
      <c r="J1007" s="29"/>
      <c r="K1007" s="29"/>
      <c r="L1007" s="6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4"/>
      <c r="AF1007" s="14"/>
    </row>
    <row r="1008" spans="2:32" ht="13.5" hidden="1" customHeight="1">
      <c r="B1008" s="21"/>
      <c r="C1008" s="34"/>
      <c r="D1008" s="21"/>
      <c r="E1008" s="21"/>
      <c r="F1008" s="21"/>
      <c r="G1008" s="21"/>
      <c r="H1008" s="21"/>
      <c r="I1008" s="21"/>
      <c r="J1008" s="35"/>
      <c r="K1008" s="35"/>
      <c r="L1008" s="22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3"/>
      <c r="AF1008" s="14"/>
    </row>
    <row r="1009" spans="2:32" ht="13.5" hidden="1" customHeight="1">
      <c r="B1009" s="13"/>
      <c r="C1009" s="2"/>
      <c r="D1009" s="13"/>
      <c r="E1009" s="13"/>
      <c r="F1009" s="13"/>
      <c r="G1009" s="13"/>
      <c r="H1009" s="13"/>
      <c r="I1009" s="13"/>
      <c r="J1009" s="29"/>
      <c r="K1009" s="29"/>
      <c r="L1009" s="6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4"/>
      <c r="AF1009" s="14"/>
    </row>
    <row r="1010" spans="2:32" ht="13.5" hidden="1" customHeight="1">
      <c r="B1010" s="13"/>
      <c r="C1010" s="2"/>
      <c r="D1010" s="13"/>
      <c r="E1010" s="13"/>
      <c r="F1010" s="13"/>
      <c r="G1010" s="13"/>
      <c r="H1010" s="13"/>
      <c r="I1010" s="13"/>
      <c r="J1010" s="29"/>
      <c r="K1010" s="29"/>
      <c r="L1010" s="6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4"/>
      <c r="AF1010" s="14"/>
    </row>
    <row r="1011" spans="2:32" ht="13.5" hidden="1" customHeight="1">
      <c r="B1011" s="13"/>
      <c r="C1011" s="2"/>
      <c r="D1011" s="13"/>
      <c r="E1011" s="13"/>
      <c r="F1011" s="13"/>
      <c r="G1011" s="13"/>
      <c r="H1011" s="13"/>
      <c r="I1011" s="13"/>
      <c r="J1011" s="29"/>
      <c r="K1011" s="29"/>
      <c r="L1011" s="6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4"/>
      <c r="AF1011" s="14"/>
    </row>
    <row r="1012" spans="2:32" s="11" customFormat="1" ht="13.5" hidden="1" customHeight="1">
      <c r="B1012" s="9"/>
      <c r="C1012" s="3"/>
      <c r="D1012" s="9"/>
      <c r="E1012" s="9"/>
      <c r="F1012" s="9" t="s">
        <v>86</v>
      </c>
      <c r="G1012" s="9" t="s">
        <v>65</v>
      </c>
      <c r="H1012" s="9"/>
      <c r="I1012" s="9"/>
      <c r="J1012" s="28"/>
      <c r="K1012" s="28"/>
      <c r="L1012" s="7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10"/>
      <c r="AF1012" s="10"/>
    </row>
    <row r="1013" spans="2:32" ht="13.5" hidden="1" customHeight="1">
      <c r="B1013" s="13"/>
      <c r="C1013" s="2"/>
      <c r="D1013" s="13"/>
      <c r="E1013" s="13"/>
      <c r="F1013" s="13"/>
      <c r="G1013" s="13" t="s">
        <v>114</v>
      </c>
      <c r="H1013" s="13"/>
      <c r="I1013" s="13"/>
      <c r="J1013" s="29"/>
      <c r="K1013" s="29"/>
      <c r="L1013" s="6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4"/>
      <c r="AF1013" s="14"/>
    </row>
    <row r="1014" spans="2:32" ht="13.5" hidden="1" customHeight="1">
      <c r="B1014" s="13"/>
      <c r="C1014" s="2"/>
      <c r="D1014" s="13"/>
      <c r="E1014" s="13"/>
      <c r="F1014" s="13"/>
      <c r="G1014" s="13"/>
      <c r="H1014" s="13"/>
      <c r="I1014" s="13"/>
      <c r="J1014" s="29"/>
      <c r="K1014" s="29"/>
      <c r="L1014" s="6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4"/>
      <c r="AF1014" s="14"/>
    </row>
    <row r="1015" spans="2:32" ht="13.5" hidden="1" customHeight="1">
      <c r="B1015" s="13"/>
      <c r="C1015" s="2"/>
      <c r="D1015" s="13"/>
      <c r="E1015" s="13"/>
      <c r="F1015" s="13"/>
      <c r="G1015" s="13"/>
      <c r="H1015" s="13"/>
      <c r="I1015" s="13"/>
      <c r="J1015" s="113" t="s">
        <v>117</v>
      </c>
      <c r="K1015" s="113"/>
      <c r="L1015" s="113"/>
      <c r="M1015" s="173" t="s">
        <v>1</v>
      </c>
      <c r="N1015" s="113" t="s">
        <v>115</v>
      </c>
      <c r="O1015" s="113"/>
      <c r="P1015" s="113"/>
      <c r="Q1015" s="173" t="s">
        <v>73</v>
      </c>
      <c r="R1015" s="173"/>
      <c r="S1015" s="113">
        <v>1.25</v>
      </c>
      <c r="T1015" s="113"/>
      <c r="U1015" s="1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4"/>
      <c r="AF1015" s="14"/>
    </row>
    <row r="1016" spans="2:32" ht="13.5" hidden="1" customHeight="1">
      <c r="B1016" s="13"/>
      <c r="C1016" s="2"/>
      <c r="D1016" s="13"/>
      <c r="E1016" s="13"/>
      <c r="F1016" s="13"/>
      <c r="G1016" s="13"/>
      <c r="H1016" s="13"/>
      <c r="I1016" s="13"/>
      <c r="J1016" s="113"/>
      <c r="K1016" s="113"/>
      <c r="L1016" s="113"/>
      <c r="M1016" s="113"/>
      <c r="N1016" s="113"/>
      <c r="O1016" s="113"/>
      <c r="P1016" s="113"/>
      <c r="Q1016" s="173"/>
      <c r="R1016" s="173"/>
      <c r="S1016" s="113"/>
      <c r="T1016" s="113"/>
      <c r="U1016" s="1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4"/>
      <c r="AF1016" s="14"/>
    </row>
    <row r="1017" spans="2:32" ht="13.5" hidden="1" customHeight="1">
      <c r="B1017" s="13"/>
      <c r="C1017" s="2"/>
      <c r="D1017" s="13"/>
      <c r="E1017" s="13"/>
      <c r="F1017" s="13"/>
      <c r="G1017" s="13"/>
      <c r="H1017" s="13"/>
      <c r="I1017" s="13"/>
      <c r="J1017" s="29"/>
      <c r="K1017" s="29"/>
      <c r="L1017" s="6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4"/>
      <c r="AF1017" s="14"/>
    </row>
    <row r="1018" spans="2:32" ht="13.5" hidden="1" customHeight="1">
      <c r="B1018" s="13"/>
      <c r="C1018" s="2"/>
      <c r="D1018" s="13"/>
      <c r="E1018" s="13"/>
      <c r="F1018" s="13"/>
      <c r="G1018" s="13"/>
      <c r="H1018" s="13"/>
      <c r="I1018" s="13"/>
      <c r="J1018" s="113" t="s">
        <v>117</v>
      </c>
      <c r="K1018" s="113"/>
      <c r="L1018" s="113"/>
      <c r="M1018" s="173" t="s">
        <v>1</v>
      </c>
      <c r="N1018" s="176" t="e">
        <f>O1000+O1001</f>
        <v>#REF!</v>
      </c>
      <c r="O1018" s="176"/>
      <c r="P1018" s="176"/>
      <c r="Q1018" s="173" t="s">
        <v>73</v>
      </c>
      <c r="R1018" s="173"/>
      <c r="S1018" s="113">
        <v>1.25</v>
      </c>
      <c r="T1018" s="113"/>
      <c r="U1018" s="1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4"/>
      <c r="AF1018" s="14"/>
    </row>
    <row r="1019" spans="2:32" ht="13.5" hidden="1" customHeight="1">
      <c r="B1019" s="13"/>
      <c r="C1019" s="2"/>
      <c r="D1019" s="13"/>
      <c r="E1019" s="13"/>
      <c r="F1019" s="13"/>
      <c r="G1019" s="13"/>
      <c r="H1019" s="13"/>
      <c r="I1019" s="13"/>
      <c r="J1019" s="113"/>
      <c r="K1019" s="113"/>
      <c r="L1019" s="113"/>
      <c r="M1019" s="113"/>
      <c r="N1019" s="176"/>
      <c r="O1019" s="176"/>
      <c r="P1019" s="176"/>
      <c r="Q1019" s="173"/>
      <c r="R1019" s="173"/>
      <c r="S1019" s="113"/>
      <c r="T1019" s="113"/>
      <c r="U1019" s="1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4"/>
      <c r="AF1019" s="14"/>
    </row>
    <row r="1020" spans="2:32" ht="13.5" hidden="1" customHeight="1">
      <c r="B1020" s="13"/>
      <c r="C1020" s="2"/>
      <c r="D1020" s="13"/>
      <c r="E1020" s="13"/>
      <c r="F1020" s="13"/>
      <c r="G1020" s="13"/>
      <c r="H1020" s="13"/>
      <c r="I1020" s="13"/>
      <c r="J1020" s="29"/>
      <c r="K1020" s="29"/>
      <c r="L1020" s="6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4"/>
      <c r="AF1020" s="14"/>
    </row>
    <row r="1021" spans="2:32" ht="13.5" hidden="1" customHeight="1">
      <c r="B1021" s="13"/>
      <c r="C1021" s="2"/>
      <c r="D1021" s="13"/>
      <c r="E1021" s="13"/>
      <c r="F1021" s="13"/>
      <c r="G1021" s="13"/>
      <c r="H1021" s="13"/>
      <c r="I1021" s="13"/>
      <c r="J1021" s="113" t="s">
        <v>117</v>
      </c>
      <c r="K1021" s="113"/>
      <c r="L1021" s="113"/>
      <c r="M1021" s="173" t="s">
        <v>1</v>
      </c>
      <c r="N1021" s="13"/>
      <c r="O1021" s="176" t="e">
        <f>N1018*S1018</f>
        <v>#REF!</v>
      </c>
      <c r="P1021" s="176"/>
      <c r="Q1021" s="176"/>
      <c r="R1021" s="176"/>
      <c r="S1021" s="13"/>
      <c r="T1021" s="113" t="s">
        <v>75</v>
      </c>
      <c r="U1021" s="1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4"/>
      <c r="AF1021" s="14"/>
    </row>
    <row r="1022" spans="2:32" ht="13.5" hidden="1" customHeight="1">
      <c r="B1022" s="13"/>
      <c r="C1022" s="2"/>
      <c r="D1022" s="13"/>
      <c r="E1022" s="13"/>
      <c r="F1022" s="13"/>
      <c r="G1022" s="13"/>
      <c r="H1022" s="13"/>
      <c r="I1022" s="13"/>
      <c r="J1022" s="113"/>
      <c r="K1022" s="113"/>
      <c r="L1022" s="113"/>
      <c r="M1022" s="113"/>
      <c r="N1022" s="13"/>
      <c r="O1022" s="176"/>
      <c r="P1022" s="176"/>
      <c r="Q1022" s="176"/>
      <c r="R1022" s="176"/>
      <c r="S1022" s="13"/>
      <c r="T1022" s="113"/>
      <c r="U1022" s="1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4"/>
      <c r="AF1022" s="14"/>
    </row>
    <row r="1023" spans="2:32" ht="13.5" hidden="1" customHeight="1">
      <c r="B1023" s="13"/>
      <c r="C1023" s="2"/>
      <c r="D1023" s="13"/>
      <c r="E1023" s="13"/>
      <c r="F1023" s="13"/>
      <c r="G1023" s="13"/>
      <c r="H1023" s="13"/>
      <c r="I1023" s="13"/>
      <c r="J1023" s="29"/>
      <c r="K1023" s="29"/>
      <c r="L1023" s="6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4"/>
      <c r="AF1023" s="14"/>
    </row>
    <row r="1024" spans="2:32" ht="13.5" hidden="1" customHeight="1">
      <c r="B1024" s="13"/>
      <c r="C1024" s="2"/>
      <c r="D1024" s="13"/>
      <c r="E1024" s="13"/>
      <c r="F1024" s="13"/>
      <c r="G1024" s="13"/>
      <c r="H1024" s="13"/>
      <c r="I1024" s="13"/>
      <c r="J1024" s="29"/>
      <c r="K1024" s="29"/>
      <c r="L1024" s="6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4"/>
      <c r="AF1024" s="14"/>
    </row>
    <row r="1025" spans="2:32" ht="13.5" hidden="1" customHeight="1">
      <c r="B1025" s="13"/>
      <c r="C1025" s="2"/>
      <c r="D1025" s="13"/>
      <c r="E1025" s="13"/>
      <c r="F1025" s="13"/>
      <c r="G1025" s="13"/>
      <c r="H1025" s="13"/>
      <c r="I1025" s="13"/>
      <c r="J1025" s="29"/>
      <c r="K1025" s="29"/>
      <c r="L1025" s="6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4"/>
      <c r="AF1025" s="14"/>
    </row>
    <row r="1026" spans="2:32" s="11" customFormat="1" ht="13.5" hidden="1" customHeight="1">
      <c r="B1026" s="9"/>
      <c r="C1026" s="3"/>
      <c r="D1026" s="9"/>
      <c r="E1026" s="9" t="s">
        <v>102</v>
      </c>
      <c r="F1026" s="9"/>
      <c r="G1026" s="9"/>
      <c r="H1026" s="9"/>
      <c r="I1026" s="9"/>
      <c r="J1026" s="28"/>
      <c r="K1026" s="28"/>
      <c r="L1026" s="7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10"/>
      <c r="AF1026" s="10"/>
    </row>
    <row r="1027" spans="2:32" ht="13.5" hidden="1" customHeight="1">
      <c r="B1027" s="13"/>
      <c r="C1027" s="2"/>
      <c r="D1027" s="13"/>
      <c r="E1027" s="13"/>
      <c r="F1027" s="13"/>
      <c r="G1027" s="13"/>
      <c r="H1027" s="13"/>
      <c r="I1027" s="13"/>
      <c r="J1027" s="29"/>
      <c r="K1027" s="29"/>
      <c r="L1027" s="6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4"/>
      <c r="AF1027" s="14"/>
    </row>
    <row r="1028" spans="2:32" ht="13.5" hidden="1" customHeight="1">
      <c r="B1028" s="13"/>
      <c r="C1028" s="2"/>
      <c r="D1028" s="13"/>
      <c r="E1028" s="13"/>
      <c r="F1028" s="13"/>
      <c r="G1028" s="13"/>
      <c r="H1028" s="13"/>
      <c r="I1028" s="13"/>
      <c r="J1028" s="29"/>
      <c r="K1028" s="29"/>
      <c r="L1028" s="6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4"/>
      <c r="AF1028" s="14"/>
    </row>
    <row r="1029" spans="2:32" ht="13.5" hidden="1" customHeight="1">
      <c r="B1029" s="13"/>
      <c r="C1029" s="2"/>
      <c r="D1029" s="13"/>
      <c r="E1029" s="13"/>
      <c r="F1029" s="13"/>
      <c r="G1029" s="13"/>
      <c r="H1029" s="13"/>
      <c r="I1029" s="9"/>
      <c r="J1029" s="29"/>
      <c r="K1029" s="29"/>
      <c r="L1029" s="6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4"/>
      <c r="AF1029" s="14"/>
    </row>
    <row r="1030" spans="2:32" ht="13.5" hidden="1" customHeight="1">
      <c r="B1030" s="13"/>
      <c r="C1030" s="2"/>
      <c r="D1030" s="13"/>
      <c r="E1030" s="13"/>
      <c r="F1030" s="13"/>
      <c r="G1030" s="13"/>
      <c r="H1030" s="13"/>
      <c r="I1030" s="13"/>
      <c r="J1030" s="29"/>
      <c r="K1030" s="29"/>
      <c r="L1030" s="6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4"/>
      <c r="AF1030" s="14"/>
    </row>
    <row r="1031" spans="2:32" ht="13.5" hidden="1" customHeight="1">
      <c r="B1031" s="13"/>
      <c r="C1031" s="2"/>
      <c r="D1031" s="13"/>
      <c r="E1031" s="13"/>
      <c r="F1031" s="13"/>
      <c r="G1031" s="13"/>
      <c r="H1031" s="13"/>
      <c r="I1031" s="13"/>
      <c r="J1031" s="29"/>
      <c r="K1031" s="29"/>
      <c r="L1031" s="6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4"/>
      <c r="AF1031" s="14"/>
    </row>
    <row r="1032" spans="2:32" ht="13.5" hidden="1" customHeight="1">
      <c r="B1032" s="13"/>
      <c r="C1032" s="2"/>
      <c r="D1032" s="13"/>
      <c r="E1032" s="13"/>
      <c r="F1032" s="13"/>
      <c r="G1032" s="13"/>
      <c r="H1032" s="13"/>
      <c r="I1032" s="13"/>
      <c r="J1032" s="29"/>
      <c r="K1032" s="29"/>
      <c r="L1032" s="6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4"/>
      <c r="AF1032" s="14"/>
    </row>
    <row r="1033" spans="2:32" ht="13.5" hidden="1" customHeight="1">
      <c r="B1033" s="13"/>
      <c r="C1033" s="2"/>
      <c r="D1033" s="13"/>
      <c r="E1033" s="13"/>
      <c r="F1033" s="13"/>
      <c r="G1033" s="13"/>
      <c r="H1033" s="13"/>
      <c r="I1033" s="13"/>
      <c r="J1033" s="29"/>
      <c r="K1033" s="29"/>
      <c r="L1033" s="6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4"/>
      <c r="AF1033" s="14"/>
    </row>
    <row r="1034" spans="2:32" ht="13.5" hidden="1" customHeight="1">
      <c r="B1034" s="13"/>
      <c r="C1034" s="2"/>
      <c r="D1034" s="13"/>
      <c r="E1034" s="13"/>
      <c r="F1034" s="13"/>
      <c r="G1034" s="13"/>
      <c r="H1034" s="13"/>
      <c r="I1034" s="13"/>
      <c r="J1034" s="29"/>
      <c r="K1034" s="29"/>
      <c r="L1034" s="6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4"/>
      <c r="AF1034" s="14"/>
    </row>
    <row r="1035" spans="2:32" ht="13.5" hidden="1" customHeight="1">
      <c r="B1035" s="13"/>
      <c r="C1035" s="2"/>
      <c r="D1035" s="13"/>
      <c r="E1035" s="13"/>
      <c r="F1035" s="13"/>
      <c r="G1035" s="13"/>
      <c r="H1035" s="13"/>
      <c r="I1035" s="13"/>
      <c r="J1035" s="29"/>
      <c r="K1035" s="29"/>
      <c r="L1035" s="6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4"/>
      <c r="AF1035" s="14"/>
    </row>
    <row r="1036" spans="2:32" ht="13.5" hidden="1" customHeight="1">
      <c r="B1036" s="13"/>
      <c r="C1036" s="2"/>
      <c r="D1036" s="13"/>
      <c r="E1036" s="13"/>
      <c r="F1036" s="13"/>
      <c r="G1036" s="13"/>
      <c r="H1036" s="13"/>
      <c r="I1036" s="13"/>
      <c r="J1036" s="29"/>
      <c r="K1036" s="29"/>
      <c r="L1036" s="6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4"/>
      <c r="AF1036" s="14"/>
    </row>
    <row r="1037" spans="2:32" ht="13.5" hidden="1" customHeight="1">
      <c r="B1037" s="13"/>
      <c r="C1037" s="2"/>
      <c r="D1037" s="13"/>
      <c r="E1037" s="13"/>
      <c r="F1037" s="13"/>
      <c r="G1037" s="13"/>
      <c r="H1037" s="13"/>
      <c r="I1037" s="13"/>
      <c r="J1037" s="29"/>
      <c r="K1037" s="29"/>
      <c r="L1037" s="6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4"/>
      <c r="AF1037" s="14"/>
    </row>
    <row r="1038" spans="2:32" ht="13.5" hidden="1" customHeight="1">
      <c r="B1038" s="13"/>
      <c r="C1038" s="2"/>
      <c r="D1038" s="13"/>
      <c r="E1038" s="13"/>
      <c r="F1038" s="13"/>
      <c r="G1038" s="13"/>
      <c r="H1038" s="13"/>
      <c r="I1038" s="13"/>
      <c r="J1038" s="29"/>
      <c r="K1038" s="29"/>
      <c r="L1038" s="6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4"/>
      <c r="AF1038" s="14"/>
    </row>
    <row r="1039" spans="2:32" ht="13.5" hidden="1" customHeight="1">
      <c r="B1039" s="13"/>
      <c r="C1039" s="2"/>
      <c r="D1039" s="13"/>
      <c r="E1039" s="13"/>
      <c r="F1039" s="13"/>
      <c r="G1039" s="13"/>
      <c r="H1039" s="13"/>
      <c r="I1039" s="13"/>
      <c r="J1039" s="29"/>
      <c r="K1039" s="29"/>
      <c r="L1039" s="6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4"/>
      <c r="AF1039" s="14"/>
    </row>
    <row r="1040" spans="2:32" ht="13.5" hidden="1" customHeight="1">
      <c r="B1040" s="13"/>
      <c r="C1040" s="2"/>
      <c r="D1040" s="13"/>
      <c r="E1040" s="13"/>
      <c r="F1040" s="13"/>
      <c r="G1040" s="13"/>
      <c r="H1040" s="13"/>
      <c r="I1040" s="13"/>
      <c r="J1040" s="29"/>
      <c r="K1040" s="29"/>
      <c r="L1040" s="6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4"/>
      <c r="AF1040" s="14"/>
    </row>
    <row r="1041" spans="2:32" ht="13.5" hidden="1" customHeight="1">
      <c r="B1041" s="13"/>
      <c r="C1041" s="2"/>
      <c r="D1041" s="13"/>
      <c r="E1041" s="13"/>
      <c r="F1041" s="13"/>
      <c r="G1041" s="13"/>
      <c r="H1041" s="13"/>
      <c r="I1041" s="13"/>
      <c r="J1041" s="29"/>
      <c r="K1041" s="29"/>
      <c r="L1041" s="6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4"/>
      <c r="AF1041" s="14"/>
    </row>
    <row r="1042" spans="2:32" ht="13.5" hidden="1" customHeight="1">
      <c r="B1042" s="13"/>
      <c r="C1042" s="2"/>
      <c r="D1042" s="13"/>
      <c r="E1042" s="13"/>
      <c r="F1042" s="13"/>
      <c r="G1042" s="13"/>
      <c r="H1042" s="13"/>
      <c r="I1042" s="13"/>
      <c r="J1042" s="29"/>
      <c r="K1042" s="29"/>
      <c r="L1042" s="6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4"/>
      <c r="AF1042" s="14"/>
    </row>
    <row r="1043" spans="2:32" ht="13.5" hidden="1" customHeight="1">
      <c r="B1043" s="13"/>
      <c r="C1043" s="2"/>
      <c r="D1043" s="13"/>
      <c r="E1043" s="13"/>
      <c r="F1043" s="13"/>
      <c r="G1043" s="13"/>
      <c r="H1043" s="13"/>
      <c r="I1043" s="13"/>
      <c r="J1043" s="29"/>
      <c r="K1043" s="29"/>
      <c r="L1043" s="6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4"/>
      <c r="AF1043" s="14"/>
    </row>
    <row r="1044" spans="2:32" ht="13.5" hidden="1" customHeight="1">
      <c r="B1044" s="13"/>
      <c r="C1044" s="2"/>
      <c r="D1044" s="13"/>
      <c r="E1044" s="13"/>
      <c r="F1044" s="13"/>
      <c r="G1044" s="13"/>
      <c r="H1044" s="13"/>
      <c r="I1044" s="13"/>
      <c r="J1044" s="29"/>
      <c r="K1044" s="29"/>
      <c r="L1044" s="6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4"/>
      <c r="AF1044" s="14"/>
    </row>
    <row r="1045" spans="2:32" ht="13.5" hidden="1" customHeight="1">
      <c r="B1045" s="13"/>
      <c r="C1045" s="2"/>
      <c r="D1045" s="13"/>
      <c r="E1045" s="13"/>
      <c r="F1045" s="13"/>
      <c r="G1045" s="13"/>
      <c r="H1045" s="13"/>
      <c r="I1045" s="13"/>
      <c r="J1045" s="29"/>
      <c r="K1045" s="29"/>
      <c r="L1045" s="6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4"/>
      <c r="AF1045" s="14"/>
    </row>
    <row r="1046" spans="2:32" ht="13.5" hidden="1" customHeight="1">
      <c r="B1046" s="13"/>
      <c r="C1046" s="2"/>
      <c r="D1046" s="13"/>
      <c r="E1046" s="13"/>
      <c r="F1046" s="13"/>
      <c r="G1046" s="13"/>
      <c r="H1046" s="13"/>
      <c r="I1046" s="13"/>
      <c r="J1046" s="29"/>
      <c r="K1046" s="29"/>
      <c r="L1046" s="6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4"/>
      <c r="AF1046" s="14"/>
    </row>
    <row r="1047" spans="2:32" ht="13.5" hidden="1" customHeight="1">
      <c r="B1047" s="13"/>
      <c r="C1047" s="2"/>
      <c r="D1047" s="13"/>
      <c r="E1047" s="13"/>
      <c r="F1047" s="13"/>
      <c r="G1047" s="13"/>
      <c r="H1047" s="13"/>
      <c r="I1047" s="13"/>
      <c r="J1047" s="29"/>
      <c r="K1047" s="29"/>
      <c r="L1047" s="6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4"/>
      <c r="AF1047" s="14"/>
    </row>
    <row r="1048" spans="2:32" ht="13.5" hidden="1" customHeight="1">
      <c r="B1048" s="13"/>
      <c r="C1048" s="2"/>
      <c r="D1048" s="13"/>
      <c r="E1048" s="13"/>
      <c r="F1048" s="13"/>
      <c r="G1048" s="13"/>
      <c r="H1048" s="13"/>
      <c r="I1048" s="13"/>
      <c r="J1048" s="29"/>
      <c r="K1048" s="29"/>
      <c r="L1048" s="6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4"/>
      <c r="AF1048" s="14"/>
    </row>
    <row r="1049" spans="2:32" ht="13.5" hidden="1" customHeight="1">
      <c r="B1049" s="13"/>
      <c r="C1049" s="2"/>
      <c r="D1049" s="13"/>
      <c r="E1049" s="13"/>
      <c r="F1049" s="13"/>
      <c r="G1049" s="13"/>
      <c r="H1049" s="13"/>
      <c r="I1049" s="13"/>
      <c r="J1049" s="29"/>
      <c r="K1049" s="29"/>
      <c r="L1049" s="6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4"/>
      <c r="AF1049" s="14"/>
    </row>
    <row r="1050" spans="2:32" ht="13.5" hidden="1" customHeight="1">
      <c r="B1050" s="13"/>
      <c r="C1050" s="2"/>
      <c r="D1050" s="13"/>
      <c r="E1050" s="13"/>
      <c r="F1050" s="13"/>
      <c r="G1050" s="13"/>
      <c r="H1050" s="13"/>
      <c r="I1050" s="13"/>
      <c r="J1050" s="29"/>
      <c r="K1050" s="29"/>
      <c r="L1050" s="6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4"/>
      <c r="AF1050" s="14"/>
    </row>
    <row r="1051" spans="2:32" ht="13.5" hidden="1" customHeight="1">
      <c r="B1051" s="13"/>
      <c r="C1051" s="2"/>
      <c r="D1051" s="13"/>
      <c r="E1051" s="13"/>
      <c r="F1051" s="13"/>
      <c r="G1051" s="13"/>
      <c r="H1051" s="13"/>
      <c r="I1051" s="13"/>
      <c r="J1051" s="29"/>
      <c r="K1051" s="29"/>
      <c r="L1051" s="6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4"/>
      <c r="AF1051" s="14"/>
    </row>
    <row r="1052" spans="2:32" ht="13.5" hidden="1" customHeight="1">
      <c r="B1052" s="13"/>
      <c r="C1052" s="2"/>
      <c r="D1052" s="13"/>
      <c r="E1052" s="13"/>
      <c r="F1052" s="13"/>
      <c r="G1052" s="13"/>
      <c r="H1052" s="13"/>
      <c r="I1052" s="13"/>
      <c r="J1052" s="29"/>
      <c r="K1052" s="29"/>
      <c r="L1052" s="6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4"/>
      <c r="AF1052" s="14"/>
    </row>
    <row r="1053" spans="2:32" ht="13.5" hidden="1" customHeight="1">
      <c r="B1053" s="13"/>
      <c r="C1053" s="2"/>
      <c r="D1053" s="13"/>
      <c r="E1053" s="13"/>
      <c r="F1053" s="13"/>
      <c r="G1053" s="13"/>
      <c r="H1053" s="13"/>
      <c r="I1053" s="13"/>
      <c r="J1053" s="29"/>
      <c r="K1053" s="29"/>
      <c r="L1053" s="6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4"/>
      <c r="AF1053" s="14"/>
    </row>
    <row r="1054" spans="2:32" ht="13.5" hidden="1" customHeight="1">
      <c r="B1054" s="13"/>
      <c r="C1054" s="2"/>
      <c r="D1054" s="13"/>
      <c r="E1054" s="13"/>
      <c r="F1054" s="13"/>
      <c r="G1054" s="13"/>
      <c r="H1054" s="13"/>
      <c r="I1054" s="13"/>
      <c r="J1054" s="29"/>
      <c r="K1054" s="29"/>
      <c r="L1054" s="6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4"/>
      <c r="AF1054" s="14"/>
    </row>
    <row r="1055" spans="2:32" ht="13.5" hidden="1" customHeight="1">
      <c r="B1055" s="13"/>
      <c r="C1055" s="2"/>
      <c r="D1055" s="13"/>
      <c r="E1055" s="13"/>
      <c r="F1055" s="13"/>
      <c r="G1055" s="13"/>
      <c r="H1055" s="13"/>
      <c r="I1055" s="13"/>
      <c r="J1055" s="29"/>
      <c r="K1055" s="29"/>
      <c r="L1055" s="6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4"/>
      <c r="AF1055" s="14"/>
    </row>
    <row r="1056" spans="2:32" ht="13.5" hidden="1" customHeight="1">
      <c r="B1056" s="21"/>
      <c r="C1056" s="34"/>
      <c r="D1056" s="21"/>
      <c r="E1056" s="21"/>
      <c r="F1056" s="21"/>
      <c r="G1056" s="21"/>
      <c r="H1056" s="21"/>
      <c r="I1056" s="21"/>
      <c r="J1056" s="35"/>
      <c r="K1056" s="35"/>
      <c r="L1056" s="22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3"/>
      <c r="AF1056" s="14"/>
    </row>
    <row r="1057" spans="2:32" ht="13.5" hidden="1" customHeight="1"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4"/>
      <c r="AF1057" s="14"/>
    </row>
    <row r="1058" spans="2:32" s="11" customFormat="1" ht="13.5" hidden="1" customHeight="1">
      <c r="B1058" s="9"/>
      <c r="C1058" s="3"/>
      <c r="D1058" s="9"/>
      <c r="E1058" s="9" t="s">
        <v>87</v>
      </c>
      <c r="F1058" s="9"/>
      <c r="G1058" s="9"/>
      <c r="H1058" s="9"/>
      <c r="I1058" s="9"/>
      <c r="J1058" s="28"/>
      <c r="K1058" s="28"/>
      <c r="L1058" s="28"/>
      <c r="M1058" s="9"/>
      <c r="N1058" s="16"/>
      <c r="O1058" s="16"/>
      <c r="P1058" s="16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10"/>
      <c r="AF1058" s="10"/>
    </row>
    <row r="1059" spans="2:32" ht="13.5" hidden="1" customHeight="1">
      <c r="B1059" s="13"/>
      <c r="C1059" s="2"/>
      <c r="D1059" s="13"/>
      <c r="E1059" s="13"/>
      <c r="F1059" s="13"/>
      <c r="G1059" s="13"/>
      <c r="H1059" s="13"/>
      <c r="I1059" s="13"/>
      <c r="J1059" s="29"/>
      <c r="K1059" s="29"/>
      <c r="L1059" s="29"/>
      <c r="M1059" s="13"/>
      <c r="N1059" s="17"/>
      <c r="O1059" s="17"/>
      <c r="P1059" s="17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4"/>
      <c r="AF1059" s="14"/>
    </row>
    <row r="1060" spans="2:32" ht="13.5" hidden="1" customHeight="1">
      <c r="B1060" s="13"/>
      <c r="C1060" s="2"/>
      <c r="D1060" s="13"/>
      <c r="E1060" s="13"/>
      <c r="F1060" s="13"/>
      <c r="G1060" s="13"/>
      <c r="H1060" s="13"/>
      <c r="I1060" s="13" t="s">
        <v>64</v>
      </c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4"/>
      <c r="AF1060" s="14"/>
    </row>
    <row r="1061" spans="2:32" ht="13.5" hidden="1" customHeight="1">
      <c r="B1061" s="13"/>
      <c r="C1061" s="2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4"/>
      <c r="AF1061" s="14"/>
    </row>
    <row r="1062" spans="2:32" ht="13.5" hidden="1" customHeight="1">
      <c r="B1062" s="13"/>
      <c r="C1062" s="2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4"/>
      <c r="AF1062" s="14"/>
    </row>
    <row r="1063" spans="2:32" ht="13.5" hidden="1" customHeight="1">
      <c r="B1063" s="13"/>
      <c r="C1063" s="2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4"/>
      <c r="AF1063" s="14"/>
    </row>
    <row r="1064" spans="2:32" ht="13.5" hidden="1" customHeight="1">
      <c r="B1064" s="13"/>
      <c r="C1064" s="2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 t="s">
        <v>88</v>
      </c>
      <c r="N1064" s="30" t="s">
        <v>1</v>
      </c>
      <c r="O1064" s="177" t="e">
        <f>#REF!</f>
        <v>#REF!</v>
      </c>
      <c r="P1064" s="177"/>
      <c r="Q1064" s="177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4"/>
      <c r="AF1064" s="14"/>
    </row>
    <row r="1065" spans="2:32" ht="13.5" hidden="1" customHeight="1">
      <c r="B1065" s="13"/>
      <c r="C1065" s="2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30"/>
      <c r="O1065" s="125"/>
      <c r="P1065" s="125"/>
      <c r="Q1065" s="125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4"/>
      <c r="AF1065" s="14"/>
    </row>
    <row r="1066" spans="2:32" ht="13.5" hidden="1" customHeight="1">
      <c r="B1066" s="13"/>
      <c r="C1066" s="2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30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4"/>
      <c r="AF1066" s="14"/>
    </row>
    <row r="1067" spans="2:32" ht="13.5" hidden="1" customHeight="1">
      <c r="B1067" s="13"/>
      <c r="C1067" s="2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 t="s">
        <v>89</v>
      </c>
      <c r="N1067" s="30" t="s">
        <v>1</v>
      </c>
      <c r="O1067" s="13" t="s">
        <v>90</v>
      </c>
      <c r="P1067" s="13"/>
      <c r="Q1067" s="13"/>
      <c r="R1067" s="13"/>
      <c r="S1067" s="13"/>
      <c r="T1067" s="13"/>
      <c r="U1067" s="13"/>
      <c r="V1067" s="177" t="e">
        <f>#REF!</f>
        <v>#REF!</v>
      </c>
      <c r="W1067" s="177"/>
      <c r="X1067" s="13"/>
      <c r="Y1067" s="13"/>
      <c r="Z1067" s="13"/>
      <c r="AA1067" s="13"/>
      <c r="AB1067" s="13"/>
      <c r="AC1067" s="13"/>
      <c r="AD1067" s="13"/>
      <c r="AE1067" s="14"/>
      <c r="AF1067" s="14"/>
    </row>
    <row r="1068" spans="2:32" ht="13.5" hidden="1" customHeight="1">
      <c r="B1068" s="13"/>
      <c r="C1068" s="2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4"/>
      <c r="AF1068" s="14"/>
    </row>
    <row r="1069" spans="2:32" ht="13.5" hidden="1" customHeight="1">
      <c r="B1069" s="13"/>
      <c r="C1069" s="2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 t="s">
        <v>94</v>
      </c>
      <c r="N1069" s="30" t="s">
        <v>1</v>
      </c>
      <c r="O1069" s="177" t="e">
        <f>#REF!</f>
        <v>#REF!</v>
      </c>
      <c r="P1069" s="177"/>
      <c r="Q1069" s="177"/>
      <c r="R1069" s="13"/>
      <c r="S1069" s="13"/>
      <c r="T1069" s="13"/>
      <c r="U1069" s="13"/>
      <c r="V1069" s="125"/>
      <c r="W1069" s="125"/>
      <c r="X1069" s="13"/>
      <c r="Y1069" s="13"/>
      <c r="Z1069" s="13"/>
      <c r="AA1069" s="13"/>
      <c r="AB1069" s="13"/>
      <c r="AC1069" s="13"/>
      <c r="AD1069" s="13"/>
      <c r="AE1069" s="14"/>
      <c r="AF1069" s="14"/>
    </row>
    <row r="1070" spans="2:32" ht="13.5" hidden="1" customHeight="1">
      <c r="B1070" s="13"/>
      <c r="C1070" s="2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4"/>
      <c r="AF1070" s="14"/>
    </row>
    <row r="1071" spans="2:32" ht="13.5" hidden="1" customHeight="1">
      <c r="B1071" s="13"/>
      <c r="C1071" s="2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4"/>
      <c r="AF1071" s="14"/>
    </row>
    <row r="1072" spans="2:32" ht="13.5" hidden="1" customHeight="1">
      <c r="B1072" s="13"/>
      <c r="C1072" s="2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 t="s">
        <v>66</v>
      </c>
      <c r="N1072" s="13"/>
      <c r="O1072" s="40" t="s">
        <v>1</v>
      </c>
      <c r="P1072" s="177" t="e">
        <f>#REF!</f>
        <v>#REF!</v>
      </c>
      <c r="Q1072" s="177"/>
      <c r="R1072" s="177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4"/>
      <c r="AF1072" s="14"/>
    </row>
    <row r="1073" spans="2:32" ht="13.5" hidden="1" customHeight="1">
      <c r="B1073" s="13"/>
      <c r="C1073" s="2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4"/>
      <c r="AF1073" s="14"/>
    </row>
    <row r="1074" spans="2:32" ht="13.5" hidden="1" customHeight="1">
      <c r="B1074" s="13"/>
      <c r="C1074" s="2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 t="s">
        <v>9</v>
      </c>
      <c r="N1074" s="13"/>
      <c r="O1074" s="40" t="s">
        <v>1</v>
      </c>
      <c r="P1074" s="177" t="e">
        <f>$N$766</f>
        <v>#REF!</v>
      </c>
      <c r="Q1074" s="177"/>
      <c r="R1074" s="177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4"/>
      <c r="AF1074" s="14"/>
    </row>
    <row r="1075" spans="2:32" ht="13.5" hidden="1" customHeight="1">
      <c r="B1075" s="13"/>
      <c r="C1075" s="2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4"/>
      <c r="AF1075" s="14"/>
    </row>
    <row r="1076" spans="2:32" ht="13.5" hidden="1" customHeight="1">
      <c r="B1076" s="13"/>
      <c r="C1076" s="2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4"/>
      <c r="AF1076" s="14"/>
    </row>
    <row r="1077" spans="2:32" ht="13.5" hidden="1" customHeight="1">
      <c r="B1077" s="13"/>
      <c r="C1077" s="2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 t="s">
        <v>121</v>
      </c>
      <c r="N1077" s="30"/>
      <c r="O1077" s="40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4"/>
      <c r="AF1077" s="14"/>
    </row>
    <row r="1078" spans="2:32" ht="13.5" hidden="1" customHeight="1">
      <c r="B1078" s="13"/>
      <c r="C1078" s="2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4"/>
      <c r="AF1078" s="14"/>
    </row>
    <row r="1079" spans="2:32" ht="13.5" hidden="1" customHeight="1">
      <c r="B1079" s="13"/>
      <c r="C1079" s="2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 t="s">
        <v>120</v>
      </c>
      <c r="N1079" s="13"/>
      <c r="O1079" s="13" t="s">
        <v>119</v>
      </c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4"/>
      <c r="AF1079" s="14"/>
    </row>
    <row r="1080" spans="2:32" ht="13.5" hidden="1" customHeight="1">
      <c r="B1080" s="13"/>
      <c r="C1080" s="2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4"/>
      <c r="AF1080" s="14"/>
    </row>
    <row r="1081" spans="2:32" s="11" customFormat="1" ht="13.5" hidden="1" customHeight="1">
      <c r="B1081" s="9"/>
      <c r="C1081" s="9"/>
      <c r="D1081" s="9" t="s">
        <v>122</v>
      </c>
      <c r="E1081" s="9"/>
      <c r="F1081" s="9"/>
      <c r="G1081" s="9"/>
      <c r="H1081" s="9"/>
      <c r="I1081" s="9"/>
      <c r="J1081" s="28"/>
      <c r="K1081" s="28"/>
      <c r="L1081" s="28"/>
      <c r="M1081" s="9"/>
      <c r="N1081" s="16"/>
      <c r="O1081" s="16"/>
      <c r="P1081" s="16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10"/>
      <c r="AF1081" s="10"/>
    </row>
    <row r="1082" spans="2:32" s="11" customFormat="1" ht="13.5" hidden="1" customHeight="1">
      <c r="B1082" s="9"/>
      <c r="C1082" s="3"/>
      <c r="D1082" s="9" t="s">
        <v>76</v>
      </c>
      <c r="E1082" s="9"/>
      <c r="F1082" s="9"/>
      <c r="G1082" s="9"/>
      <c r="H1082" s="185">
        <v>2</v>
      </c>
      <c r="I1082" s="185"/>
      <c r="J1082" s="9" t="s">
        <v>141</v>
      </c>
      <c r="K1082" s="28"/>
      <c r="L1082" s="28"/>
      <c r="M1082" s="9"/>
      <c r="N1082" s="16"/>
      <c r="O1082" s="16"/>
      <c r="P1082" s="16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10"/>
      <c r="AF1082" s="10"/>
    </row>
    <row r="1083" spans="2:32" s="11" customFormat="1" ht="13.5" hidden="1" customHeight="1">
      <c r="B1083" s="9"/>
      <c r="C1083" s="3"/>
      <c r="D1083" s="9" t="s">
        <v>158</v>
      </c>
      <c r="E1083" s="9"/>
      <c r="F1083" s="9"/>
      <c r="G1083" s="9"/>
      <c r="H1083" s="9"/>
      <c r="I1083" s="9"/>
      <c r="J1083" s="28"/>
      <c r="K1083" s="32" t="s">
        <v>1</v>
      </c>
      <c r="L1083" s="204">
        <v>18</v>
      </c>
      <c r="M1083" s="204"/>
      <c r="N1083" s="204"/>
      <c r="O1083" s="33" t="s">
        <v>77</v>
      </c>
      <c r="P1083" s="16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10"/>
      <c r="AF1083" s="10"/>
    </row>
    <row r="1084" spans="2:32" ht="13.5" hidden="1" customHeight="1">
      <c r="B1084" s="13"/>
      <c r="C1084" s="2"/>
      <c r="D1084" s="13"/>
      <c r="E1084" s="13"/>
      <c r="F1084" s="13"/>
      <c r="G1084" s="13"/>
      <c r="H1084" s="13"/>
      <c r="I1084" s="13"/>
      <c r="J1084" s="29"/>
      <c r="K1084" s="29"/>
      <c r="L1084" s="29"/>
      <c r="M1084" s="13"/>
      <c r="N1084" s="17"/>
      <c r="O1084" s="17"/>
      <c r="P1084" s="17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4"/>
      <c r="AF1084" s="14"/>
    </row>
    <row r="1085" spans="2:32" ht="13.5" hidden="1" customHeight="1">
      <c r="B1085" s="13"/>
      <c r="C1085" s="2"/>
      <c r="D1085" s="13"/>
      <c r="E1085" s="13"/>
      <c r="F1085" s="13"/>
      <c r="G1085" s="13"/>
      <c r="H1085" s="13"/>
      <c r="I1085" s="13"/>
      <c r="J1085" s="29"/>
      <c r="K1085" s="29"/>
      <c r="L1085" s="6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4"/>
      <c r="AF1085" s="14"/>
    </row>
    <row r="1086" spans="2:32" ht="13.5" hidden="1" customHeight="1">
      <c r="B1086" s="13"/>
      <c r="C1086" s="2"/>
      <c r="D1086" s="13"/>
      <c r="E1086" s="13"/>
      <c r="F1086" s="113" t="s">
        <v>163</v>
      </c>
      <c r="G1086" s="113"/>
      <c r="H1086" s="113"/>
      <c r="I1086" s="113"/>
      <c r="J1086" s="113"/>
      <c r="K1086" s="113"/>
      <c r="L1086" s="113"/>
      <c r="M1086" s="173" t="s">
        <v>1</v>
      </c>
      <c r="N1086" s="146" t="s">
        <v>159</v>
      </c>
      <c r="O1086" s="146"/>
      <c r="P1086" s="146"/>
      <c r="Q1086" s="146"/>
      <c r="R1086" s="146"/>
      <c r="S1086" s="146"/>
      <c r="T1086" s="146"/>
      <c r="U1086" s="146"/>
      <c r="V1086" s="113" t="s">
        <v>162</v>
      </c>
      <c r="W1086" s="113"/>
      <c r="X1086" s="113"/>
      <c r="Y1086" s="113"/>
      <c r="Z1086" s="113"/>
      <c r="AA1086" s="113"/>
      <c r="AB1086" s="113"/>
      <c r="AC1086" s="13"/>
      <c r="AD1086" s="13"/>
      <c r="AE1086" s="14"/>
      <c r="AF1086" s="14"/>
    </row>
    <row r="1087" spans="2:32" ht="13.5" hidden="1" customHeight="1">
      <c r="B1087" s="13"/>
      <c r="C1087" s="2"/>
      <c r="D1087" s="13"/>
      <c r="E1087" s="13"/>
      <c r="F1087" s="113"/>
      <c r="G1087" s="113"/>
      <c r="H1087" s="113"/>
      <c r="I1087" s="113"/>
      <c r="J1087" s="113"/>
      <c r="K1087" s="113"/>
      <c r="L1087" s="113"/>
      <c r="M1087" s="113"/>
      <c r="N1087" s="126" t="s">
        <v>160</v>
      </c>
      <c r="O1087" s="126"/>
      <c r="P1087" s="126"/>
      <c r="Q1087" s="126"/>
      <c r="R1087" s="126"/>
      <c r="S1087" s="126"/>
      <c r="T1087" s="126"/>
      <c r="U1087" s="126"/>
      <c r="V1087" s="113"/>
      <c r="W1087" s="113"/>
      <c r="X1087" s="113"/>
      <c r="Y1087" s="113"/>
      <c r="Z1087" s="113"/>
      <c r="AA1087" s="113"/>
      <c r="AB1087" s="113"/>
      <c r="AC1087" s="13"/>
      <c r="AD1087" s="13"/>
      <c r="AE1087" s="14"/>
      <c r="AF1087" s="14"/>
    </row>
    <row r="1088" spans="2:32" ht="13.5" hidden="1" customHeight="1">
      <c r="B1088" s="13"/>
      <c r="C1088" s="2"/>
      <c r="D1088" s="13"/>
      <c r="E1088" s="13"/>
      <c r="F1088" s="13"/>
      <c r="G1088" s="13"/>
      <c r="H1088" s="13"/>
      <c r="I1088" s="13"/>
      <c r="J1088" s="29"/>
      <c r="K1088" s="29"/>
      <c r="L1088" s="6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4"/>
      <c r="AF1088" s="14"/>
    </row>
    <row r="1089" spans="2:32" ht="13.5" hidden="1" customHeight="1">
      <c r="B1089" s="13"/>
      <c r="C1089" s="2"/>
      <c r="D1089" s="13"/>
      <c r="E1089" s="13"/>
      <c r="F1089" s="113" t="s">
        <v>163</v>
      </c>
      <c r="G1089" s="113"/>
      <c r="H1089" s="113"/>
      <c r="I1089" s="113"/>
      <c r="J1089" s="113"/>
      <c r="K1089" s="113"/>
      <c r="L1089" s="113"/>
      <c r="M1089" s="173" t="s">
        <v>1</v>
      </c>
      <c r="N1089" s="174" t="e">
        <f>#REF!</f>
        <v>#REF!</v>
      </c>
      <c r="O1089" s="174"/>
      <c r="P1089" s="174"/>
      <c r="Q1089" s="174"/>
      <c r="R1089" s="174"/>
      <c r="S1089" s="174"/>
      <c r="T1089" s="174"/>
      <c r="U1089" s="174"/>
      <c r="V1089" s="176">
        <f>L1083/1000</f>
        <v>1.7999999999999999E-2</v>
      </c>
      <c r="W1089" s="176"/>
      <c r="X1089" s="176"/>
      <c r="Y1089" s="13"/>
      <c r="Z1089" s="13"/>
      <c r="AA1089" s="13"/>
      <c r="AB1089" s="13"/>
      <c r="AC1089" s="13"/>
      <c r="AD1089" s="13"/>
      <c r="AE1089" s="14"/>
      <c r="AF1089" s="14"/>
    </row>
    <row r="1090" spans="2:32" ht="13.5" hidden="1" customHeight="1">
      <c r="B1090" s="13"/>
      <c r="C1090" s="2"/>
      <c r="D1090" s="13"/>
      <c r="E1090" s="13"/>
      <c r="F1090" s="113"/>
      <c r="G1090" s="113"/>
      <c r="H1090" s="113"/>
      <c r="I1090" s="113"/>
      <c r="J1090" s="113"/>
      <c r="K1090" s="113"/>
      <c r="L1090" s="113"/>
      <c r="M1090" s="113"/>
      <c r="N1090" s="196">
        <f>H1082</f>
        <v>2</v>
      </c>
      <c r="O1090" s="196"/>
      <c r="P1090" s="196"/>
      <c r="Q1090" s="196"/>
      <c r="R1090" s="196"/>
      <c r="S1090" s="196"/>
      <c r="T1090" s="196"/>
      <c r="U1090" s="196"/>
      <c r="V1090" s="176"/>
      <c r="W1090" s="176"/>
      <c r="X1090" s="176"/>
      <c r="Y1090" s="13"/>
      <c r="Z1090" s="13"/>
      <c r="AA1090" s="13"/>
      <c r="AB1090" s="13"/>
      <c r="AC1090" s="13"/>
      <c r="AD1090" s="13"/>
      <c r="AE1090" s="14"/>
      <c r="AF1090" s="14"/>
    </row>
    <row r="1091" spans="2:32" ht="13.5" hidden="1" customHeight="1">
      <c r="B1091" s="13"/>
      <c r="C1091" s="2"/>
      <c r="D1091" s="13"/>
      <c r="E1091" s="13"/>
      <c r="F1091" s="13"/>
      <c r="G1091" s="13"/>
      <c r="H1091" s="13"/>
      <c r="I1091" s="13"/>
      <c r="J1091" s="29"/>
      <c r="K1091" s="29"/>
      <c r="L1091" s="6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4"/>
      <c r="AF1091" s="14"/>
    </row>
    <row r="1092" spans="2:32" ht="13.5" hidden="1" customHeight="1">
      <c r="B1092" s="13"/>
      <c r="C1092" s="2"/>
      <c r="D1092" s="13"/>
      <c r="E1092" s="13"/>
      <c r="F1092" s="113" t="s">
        <v>163</v>
      </c>
      <c r="G1092" s="113"/>
      <c r="H1092" s="113"/>
      <c r="I1092" s="113"/>
      <c r="J1092" s="113"/>
      <c r="K1092" s="113"/>
      <c r="L1092" s="113"/>
      <c r="M1092" s="173" t="s">
        <v>1</v>
      </c>
      <c r="N1092" s="176" t="e">
        <f>(N1089/N1090)*V1089</f>
        <v>#REF!</v>
      </c>
      <c r="O1092" s="176"/>
      <c r="P1092" s="176"/>
      <c r="Q1092" s="13"/>
      <c r="R1092" s="113" t="s">
        <v>78</v>
      </c>
      <c r="S1092" s="113"/>
      <c r="T1092" s="1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4"/>
      <c r="AF1092" s="14"/>
    </row>
    <row r="1093" spans="2:32" ht="13.5" hidden="1" customHeight="1">
      <c r="B1093" s="13"/>
      <c r="C1093" s="2"/>
      <c r="D1093" s="13"/>
      <c r="E1093" s="13"/>
      <c r="F1093" s="113"/>
      <c r="G1093" s="113"/>
      <c r="H1093" s="113"/>
      <c r="I1093" s="113"/>
      <c r="J1093" s="113"/>
      <c r="K1093" s="113"/>
      <c r="L1093" s="113"/>
      <c r="M1093" s="113"/>
      <c r="N1093" s="176"/>
      <c r="O1093" s="176"/>
      <c r="P1093" s="176"/>
      <c r="Q1093" s="13"/>
      <c r="R1093" s="113"/>
      <c r="S1093" s="113"/>
      <c r="T1093" s="1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4"/>
      <c r="AF1093" s="14"/>
    </row>
    <row r="1094" spans="2:32" ht="13.5" hidden="1" customHeight="1">
      <c r="B1094" s="13"/>
      <c r="C1094" s="2"/>
      <c r="D1094" s="13"/>
      <c r="E1094" s="13"/>
      <c r="F1094" s="13"/>
      <c r="G1094" s="13"/>
      <c r="H1094" s="13"/>
      <c r="I1094" s="13"/>
      <c r="J1094" s="29"/>
      <c r="K1094" s="29"/>
      <c r="L1094" s="6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4"/>
      <c r="AF1094" s="14"/>
    </row>
    <row r="1095" spans="2:32" ht="13.5" hidden="1" customHeight="1">
      <c r="B1095" s="13"/>
      <c r="C1095" s="2"/>
      <c r="D1095" s="13"/>
      <c r="E1095" s="13"/>
      <c r="F1095" s="13"/>
      <c r="G1095" s="13"/>
      <c r="H1095" s="13"/>
      <c r="I1095" s="13"/>
      <c r="J1095" s="29"/>
      <c r="K1095" s="29"/>
      <c r="L1095" s="6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4"/>
      <c r="AF1095" s="14"/>
    </row>
    <row r="1096" spans="2:32" ht="13.5" hidden="1" customHeight="1">
      <c r="B1096" s="13"/>
      <c r="C1096" s="2"/>
      <c r="D1096" s="13"/>
      <c r="E1096" s="13"/>
      <c r="F1096" s="113" t="s">
        <v>164</v>
      </c>
      <c r="G1096" s="113"/>
      <c r="H1096" s="113"/>
      <c r="I1096" s="113"/>
      <c r="J1096" s="113"/>
      <c r="K1096" s="113"/>
      <c r="L1096" s="113"/>
      <c r="M1096" s="173" t="s">
        <v>1</v>
      </c>
      <c r="N1096" s="146" t="s">
        <v>161</v>
      </c>
      <c r="O1096" s="146"/>
      <c r="P1096" s="146"/>
      <c r="Q1096" s="146"/>
      <c r="R1096" s="146"/>
      <c r="S1096" s="146"/>
      <c r="T1096" s="146"/>
      <c r="U1096" s="146"/>
      <c r="V1096" s="113" t="s">
        <v>162</v>
      </c>
      <c r="W1096" s="113"/>
      <c r="X1096" s="113"/>
      <c r="Y1096" s="113"/>
      <c r="Z1096" s="113"/>
      <c r="AA1096" s="113"/>
      <c r="AB1096" s="113"/>
      <c r="AC1096" s="13"/>
      <c r="AD1096" s="13"/>
      <c r="AE1096" s="14"/>
      <c r="AF1096" s="14"/>
    </row>
    <row r="1097" spans="2:32" ht="13.5" hidden="1" customHeight="1">
      <c r="B1097" s="13"/>
      <c r="C1097" s="2"/>
      <c r="D1097" s="13"/>
      <c r="E1097" s="13"/>
      <c r="F1097" s="113"/>
      <c r="G1097" s="113"/>
      <c r="H1097" s="113"/>
      <c r="I1097" s="113"/>
      <c r="J1097" s="113"/>
      <c r="K1097" s="113"/>
      <c r="L1097" s="113"/>
      <c r="M1097" s="113"/>
      <c r="N1097" s="126" t="s">
        <v>160</v>
      </c>
      <c r="O1097" s="126"/>
      <c r="P1097" s="126"/>
      <c r="Q1097" s="126"/>
      <c r="R1097" s="126"/>
      <c r="S1097" s="126"/>
      <c r="T1097" s="126"/>
      <c r="U1097" s="126"/>
      <c r="V1097" s="113"/>
      <c r="W1097" s="113"/>
      <c r="X1097" s="113"/>
      <c r="Y1097" s="113"/>
      <c r="Z1097" s="113"/>
      <c r="AA1097" s="113"/>
      <c r="AB1097" s="113"/>
      <c r="AC1097" s="13"/>
      <c r="AD1097" s="13"/>
      <c r="AE1097" s="14"/>
      <c r="AF1097" s="14"/>
    </row>
    <row r="1098" spans="2:32" ht="13.5" hidden="1" customHeight="1">
      <c r="B1098" s="13"/>
      <c r="C1098" s="2"/>
      <c r="D1098" s="13"/>
      <c r="E1098" s="13"/>
      <c r="F1098" s="13"/>
      <c r="G1098" s="13"/>
      <c r="H1098" s="13"/>
      <c r="I1098" s="13"/>
      <c r="J1098" s="29"/>
      <c r="K1098" s="29"/>
      <c r="L1098" s="6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4"/>
      <c r="AF1098" s="14"/>
    </row>
    <row r="1099" spans="2:32" ht="13.5" hidden="1" customHeight="1">
      <c r="B1099" s="13"/>
      <c r="C1099" s="2"/>
      <c r="D1099" s="13"/>
      <c r="E1099" s="13"/>
      <c r="F1099" s="113" t="s">
        <v>164</v>
      </c>
      <c r="G1099" s="113"/>
      <c r="H1099" s="113"/>
      <c r="I1099" s="113"/>
      <c r="J1099" s="113"/>
      <c r="K1099" s="113"/>
      <c r="L1099" s="113"/>
      <c r="M1099" s="173" t="s">
        <v>1</v>
      </c>
      <c r="N1099" s="174" t="e">
        <f>#REF!</f>
        <v>#REF!</v>
      </c>
      <c r="O1099" s="174"/>
      <c r="P1099" s="174"/>
      <c r="Q1099" s="174"/>
      <c r="R1099" s="174"/>
      <c r="S1099" s="174"/>
      <c r="T1099" s="174"/>
      <c r="U1099" s="174"/>
      <c r="V1099" s="176">
        <f>L1083/1000</f>
        <v>1.7999999999999999E-2</v>
      </c>
      <c r="W1099" s="176"/>
      <c r="X1099" s="176"/>
      <c r="Y1099" s="13"/>
      <c r="Z1099" s="13"/>
      <c r="AA1099" s="13"/>
      <c r="AB1099" s="13"/>
      <c r="AC1099" s="13"/>
      <c r="AD1099" s="13"/>
      <c r="AE1099" s="14"/>
      <c r="AF1099" s="14"/>
    </row>
    <row r="1100" spans="2:32" ht="13.5" hidden="1" customHeight="1">
      <c r="B1100" s="13"/>
      <c r="C1100" s="2"/>
      <c r="D1100" s="13"/>
      <c r="E1100" s="13"/>
      <c r="F1100" s="113"/>
      <c r="G1100" s="113"/>
      <c r="H1100" s="113"/>
      <c r="I1100" s="113"/>
      <c r="J1100" s="113"/>
      <c r="K1100" s="113"/>
      <c r="L1100" s="113"/>
      <c r="M1100" s="113"/>
      <c r="N1100" s="196">
        <f>H1082</f>
        <v>2</v>
      </c>
      <c r="O1100" s="196"/>
      <c r="P1100" s="196"/>
      <c r="Q1100" s="196"/>
      <c r="R1100" s="196"/>
      <c r="S1100" s="196"/>
      <c r="T1100" s="196"/>
      <c r="U1100" s="196"/>
      <c r="V1100" s="176"/>
      <c r="W1100" s="176"/>
      <c r="X1100" s="176"/>
      <c r="Y1100" s="13"/>
      <c r="Z1100" s="13"/>
      <c r="AA1100" s="13"/>
      <c r="AB1100" s="13"/>
      <c r="AC1100" s="13"/>
      <c r="AD1100" s="13"/>
      <c r="AE1100" s="14"/>
      <c r="AF1100" s="14"/>
    </row>
    <row r="1101" spans="2:32" ht="13.5" hidden="1" customHeight="1">
      <c r="B1101" s="13"/>
      <c r="C1101" s="2"/>
      <c r="D1101" s="13"/>
      <c r="E1101" s="13"/>
      <c r="F1101" s="13"/>
      <c r="G1101" s="13"/>
      <c r="H1101" s="13"/>
      <c r="I1101" s="13"/>
      <c r="J1101" s="29"/>
      <c r="K1101" s="29"/>
      <c r="L1101" s="6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4"/>
      <c r="AF1101" s="14"/>
    </row>
    <row r="1102" spans="2:32" ht="13.5" hidden="1" customHeight="1">
      <c r="B1102" s="13"/>
      <c r="C1102" s="2"/>
      <c r="D1102" s="13"/>
      <c r="E1102" s="13"/>
      <c r="F1102" s="113" t="s">
        <v>164</v>
      </c>
      <c r="G1102" s="113"/>
      <c r="H1102" s="113"/>
      <c r="I1102" s="113"/>
      <c r="J1102" s="113"/>
      <c r="K1102" s="113"/>
      <c r="L1102" s="113"/>
      <c r="M1102" s="173" t="s">
        <v>1</v>
      </c>
      <c r="N1102" s="176" t="e">
        <f>(N1099/N1100)*V1099</f>
        <v>#REF!</v>
      </c>
      <c r="O1102" s="176"/>
      <c r="P1102" s="176"/>
      <c r="Q1102" s="13"/>
      <c r="R1102" s="113" t="s">
        <v>78</v>
      </c>
      <c r="S1102" s="113"/>
      <c r="T1102" s="1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4"/>
      <c r="AF1102" s="14"/>
    </row>
    <row r="1103" spans="2:32" ht="13.5" hidden="1" customHeight="1">
      <c r="B1103" s="13"/>
      <c r="C1103" s="2"/>
      <c r="D1103" s="13"/>
      <c r="E1103" s="13"/>
      <c r="F1103" s="113"/>
      <c r="G1103" s="113"/>
      <c r="H1103" s="113"/>
      <c r="I1103" s="113"/>
      <c r="J1103" s="113"/>
      <c r="K1103" s="113"/>
      <c r="L1103" s="113"/>
      <c r="M1103" s="113"/>
      <c r="N1103" s="176"/>
      <c r="O1103" s="176"/>
      <c r="P1103" s="176"/>
      <c r="Q1103" s="13"/>
      <c r="R1103" s="113"/>
      <c r="S1103" s="113"/>
      <c r="T1103" s="1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4"/>
      <c r="AF1103" s="14"/>
    </row>
    <row r="1104" spans="2:32" ht="13.5" hidden="1" customHeight="1">
      <c r="B1104" s="21"/>
      <c r="C1104" s="34"/>
      <c r="D1104" s="21"/>
      <c r="E1104" s="21"/>
      <c r="F1104" s="21"/>
      <c r="G1104" s="21"/>
      <c r="H1104" s="21"/>
      <c r="I1104" s="21"/>
      <c r="J1104" s="35"/>
      <c r="K1104" s="35"/>
      <c r="L1104" s="22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3"/>
      <c r="AF1104" s="14"/>
    </row>
    <row r="1105" spans="2:32" ht="13.5" hidden="1" customHeight="1">
      <c r="B1105" s="13"/>
      <c r="C1105" s="2"/>
      <c r="D1105" s="13"/>
      <c r="E1105" s="13"/>
      <c r="F1105" s="13"/>
      <c r="G1105" s="13"/>
      <c r="H1105" s="13"/>
      <c r="I1105" s="13"/>
      <c r="J1105" s="29"/>
      <c r="K1105" s="29"/>
      <c r="L1105" s="6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4"/>
      <c r="AF1105" s="14"/>
    </row>
    <row r="1106" spans="2:32" s="11" customFormat="1" ht="13.5" hidden="1" customHeight="1">
      <c r="B1106" s="9"/>
      <c r="C1106" s="3"/>
      <c r="D1106" s="9"/>
      <c r="E1106" s="9"/>
      <c r="F1106" s="9" t="s">
        <v>21</v>
      </c>
      <c r="G1106" s="9" t="s">
        <v>79</v>
      </c>
      <c r="H1106" s="9"/>
      <c r="I1106" s="9"/>
      <c r="J1106" s="28"/>
      <c r="K1106" s="28"/>
      <c r="L1106" s="7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10"/>
      <c r="AF1106" s="10"/>
    </row>
    <row r="1107" spans="2:32" ht="13.5" hidden="1" customHeight="1">
      <c r="B1107" s="13"/>
      <c r="C1107" s="2"/>
      <c r="D1107" s="13"/>
      <c r="E1107" s="13"/>
      <c r="F1107" s="13"/>
      <c r="G1107" s="13"/>
      <c r="H1107" s="13"/>
      <c r="I1107" s="13"/>
      <c r="J1107" s="29"/>
      <c r="K1107" s="29"/>
      <c r="L1107" s="6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4"/>
      <c r="AF1107" s="14"/>
    </row>
    <row r="1108" spans="2:32" ht="13.5" hidden="1" customHeight="1">
      <c r="B1108" s="13"/>
      <c r="C1108" s="2"/>
      <c r="D1108" s="13"/>
      <c r="E1108" s="13"/>
      <c r="F1108" s="13"/>
      <c r="G1108" s="13"/>
      <c r="H1108" s="13"/>
      <c r="I1108" s="13"/>
      <c r="J1108" s="113" t="s">
        <v>121</v>
      </c>
      <c r="K1108" s="113"/>
      <c r="L1108" s="113"/>
      <c r="M1108" s="173" t="s">
        <v>1</v>
      </c>
      <c r="N1108" s="197" t="s">
        <v>95</v>
      </c>
      <c r="O1108" s="198"/>
      <c r="P1108" s="198"/>
      <c r="Q1108" s="208" t="s">
        <v>8</v>
      </c>
      <c r="R1108" s="198"/>
      <c r="S1108" s="198" t="s">
        <v>96</v>
      </c>
      <c r="T1108" s="198"/>
      <c r="U1108" s="198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4"/>
      <c r="AF1108" s="14"/>
    </row>
    <row r="1109" spans="2:32" ht="13.5" hidden="1" customHeight="1">
      <c r="B1109" s="13"/>
      <c r="C1109" s="2"/>
      <c r="D1109" s="13"/>
      <c r="E1109" s="13"/>
      <c r="F1109" s="13"/>
      <c r="G1109" s="13"/>
      <c r="H1109" s="13"/>
      <c r="I1109" s="13"/>
      <c r="J1109" s="113"/>
      <c r="K1109" s="113"/>
      <c r="L1109" s="113"/>
      <c r="M1109" s="113"/>
      <c r="N1109" s="199"/>
      <c r="O1109" s="113"/>
      <c r="P1109" s="113"/>
      <c r="Q1109" s="113"/>
      <c r="R1109" s="113"/>
      <c r="S1109" s="113"/>
      <c r="T1109" s="113"/>
      <c r="U1109" s="1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4"/>
      <c r="AF1109" s="14"/>
    </row>
    <row r="1110" spans="2:32" ht="13.5" hidden="1" customHeight="1">
      <c r="B1110" s="13"/>
      <c r="C1110" s="2"/>
      <c r="D1110" s="13"/>
      <c r="E1110" s="13"/>
      <c r="F1110" s="13"/>
      <c r="G1110" s="13"/>
      <c r="H1110" s="13"/>
      <c r="I1110" s="13"/>
      <c r="J1110" s="29"/>
      <c r="K1110" s="29"/>
      <c r="L1110" s="6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4"/>
      <c r="AF1110" s="14"/>
    </row>
    <row r="1111" spans="2:32" ht="13.5" hidden="1" customHeight="1">
      <c r="B1111" s="13"/>
      <c r="C1111" s="2"/>
      <c r="D1111" s="13"/>
      <c r="E1111" s="13"/>
      <c r="F1111" s="13"/>
      <c r="G1111" s="13"/>
      <c r="H1111" s="13"/>
      <c r="I1111" s="13"/>
      <c r="J1111" s="113" t="s">
        <v>121</v>
      </c>
      <c r="K1111" s="113"/>
      <c r="L1111" s="113"/>
      <c r="M1111" s="173" t="s">
        <v>1</v>
      </c>
      <c r="N1111" s="206" t="e">
        <f>N1092*N1092</f>
        <v>#REF!</v>
      </c>
      <c r="O1111" s="195"/>
      <c r="P1111" s="195"/>
      <c r="Q1111" s="208" t="s">
        <v>8</v>
      </c>
      <c r="R1111" s="198"/>
      <c r="S1111" s="195" t="e">
        <f>N1102*N1102</f>
        <v>#REF!</v>
      </c>
      <c r="T1111" s="195"/>
      <c r="U1111" s="195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4"/>
      <c r="AF1111" s="14"/>
    </row>
    <row r="1112" spans="2:32" ht="13.5" hidden="1" customHeight="1">
      <c r="B1112" s="13"/>
      <c r="C1112" s="2"/>
      <c r="D1112" s="13"/>
      <c r="E1112" s="13"/>
      <c r="F1112" s="13"/>
      <c r="G1112" s="13"/>
      <c r="H1112" s="13"/>
      <c r="I1112" s="13"/>
      <c r="J1112" s="113"/>
      <c r="K1112" s="113"/>
      <c r="L1112" s="113"/>
      <c r="M1112" s="113"/>
      <c r="N1112" s="207"/>
      <c r="O1112" s="176"/>
      <c r="P1112" s="176"/>
      <c r="Q1112" s="113"/>
      <c r="R1112" s="113"/>
      <c r="S1112" s="176"/>
      <c r="T1112" s="176"/>
      <c r="U1112" s="176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4"/>
      <c r="AF1112" s="14"/>
    </row>
    <row r="1113" spans="2:32" ht="13.5" hidden="1" customHeight="1">
      <c r="B1113" s="13"/>
      <c r="C1113" s="2"/>
      <c r="D1113" s="13"/>
      <c r="E1113" s="13"/>
      <c r="F1113" s="13"/>
      <c r="G1113" s="13"/>
      <c r="H1113" s="13"/>
      <c r="I1113" s="13"/>
      <c r="J1113" s="29"/>
      <c r="K1113" s="29"/>
      <c r="L1113" s="6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4"/>
      <c r="AF1113" s="14"/>
    </row>
    <row r="1114" spans="2:32" ht="13.5" hidden="1" customHeight="1">
      <c r="B1114" s="13"/>
      <c r="C1114" s="2"/>
      <c r="D1114" s="13"/>
      <c r="E1114" s="13"/>
      <c r="F1114" s="13"/>
      <c r="G1114" s="13"/>
      <c r="H1114" s="13"/>
      <c r="I1114" s="13"/>
      <c r="J1114" s="113" t="s">
        <v>121</v>
      </c>
      <c r="K1114" s="113"/>
      <c r="L1114" s="113"/>
      <c r="M1114" s="173" t="s">
        <v>1</v>
      </c>
      <c r="N1114" s="176" t="e">
        <f>SQRT(N1111+S1111)</f>
        <v>#REF!</v>
      </c>
      <c r="O1114" s="176"/>
      <c r="P1114" s="176"/>
      <c r="Q1114" s="176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4"/>
      <c r="AF1114" s="14"/>
    </row>
    <row r="1115" spans="2:32" ht="13.5" hidden="1" customHeight="1">
      <c r="B1115" s="13"/>
      <c r="C1115" s="2"/>
      <c r="D1115" s="13"/>
      <c r="E1115" s="13"/>
      <c r="F1115" s="13"/>
      <c r="G1115" s="13"/>
      <c r="H1115" s="13"/>
      <c r="I1115" s="13"/>
      <c r="J1115" s="113"/>
      <c r="K1115" s="113"/>
      <c r="L1115" s="113"/>
      <c r="M1115" s="113"/>
      <c r="N1115" s="176"/>
      <c r="O1115" s="176"/>
      <c r="P1115" s="176"/>
      <c r="Q1115" s="176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4"/>
      <c r="AF1115" s="14"/>
    </row>
    <row r="1116" spans="2:32" ht="13.5" hidden="1" customHeight="1">
      <c r="B1116" s="13"/>
      <c r="C1116" s="2"/>
      <c r="D1116" s="13"/>
      <c r="E1116" s="13"/>
      <c r="F1116" s="13"/>
      <c r="G1116" s="13"/>
      <c r="H1116" s="13"/>
      <c r="I1116" s="13"/>
      <c r="J1116" s="29"/>
      <c r="K1116" s="29"/>
      <c r="L1116" s="6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4"/>
      <c r="AF1116" s="14"/>
    </row>
    <row r="1117" spans="2:32" s="11" customFormat="1" ht="13.5" hidden="1" customHeight="1">
      <c r="B1117" s="9"/>
      <c r="C1117" s="3"/>
      <c r="D1117" s="9"/>
      <c r="E1117" s="9"/>
      <c r="F1117" s="9" t="s">
        <v>22</v>
      </c>
      <c r="G1117" s="9" t="s">
        <v>139</v>
      </c>
      <c r="H1117" s="9"/>
      <c r="I1117" s="9"/>
      <c r="J1117" s="28"/>
      <c r="K1117" s="28"/>
      <c r="L1117" s="7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10"/>
      <c r="AF1117" s="10"/>
    </row>
    <row r="1118" spans="2:32" ht="13.5" hidden="1" customHeight="1">
      <c r="B1118" s="13"/>
      <c r="C1118" s="2"/>
      <c r="D1118" s="13"/>
      <c r="E1118" s="13"/>
      <c r="F1118" s="13"/>
      <c r="G1118" s="13"/>
      <c r="H1118" s="13"/>
      <c r="I1118" s="13"/>
      <c r="J1118" s="29"/>
      <c r="K1118" s="29"/>
      <c r="L1118" s="6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4"/>
      <c r="AF1118" s="14"/>
    </row>
    <row r="1119" spans="2:32" ht="13.5" hidden="1" customHeight="1">
      <c r="B1119" s="13"/>
      <c r="C1119" s="2"/>
      <c r="D1119" s="13"/>
      <c r="E1119" s="13"/>
      <c r="F1119" s="13"/>
      <c r="G1119" s="13"/>
      <c r="H1119" s="13"/>
      <c r="I1119" s="13"/>
      <c r="J1119" s="29"/>
      <c r="K1119" s="205" t="s">
        <v>97</v>
      </c>
      <c r="L1119" s="205"/>
      <c r="M1119" s="173" t="s">
        <v>1</v>
      </c>
      <c r="N1119" s="146" t="s">
        <v>80</v>
      </c>
      <c r="O1119" s="146"/>
      <c r="P1119" s="146"/>
      <c r="Q1119" s="146"/>
      <c r="R1119" s="146" t="s">
        <v>73</v>
      </c>
      <c r="S1119" s="146"/>
      <c r="T1119" s="146" t="s">
        <v>81</v>
      </c>
      <c r="U1119" s="146"/>
      <c r="V1119" s="146"/>
      <c r="W1119" s="13"/>
      <c r="X1119" s="13"/>
      <c r="Y1119" s="13"/>
      <c r="Z1119" s="13"/>
      <c r="AA1119" s="13"/>
      <c r="AB1119" s="13"/>
      <c r="AC1119" s="13"/>
      <c r="AD1119" s="13"/>
      <c r="AE1119" s="14"/>
      <c r="AF1119" s="14"/>
    </row>
    <row r="1120" spans="2:32" ht="13.5" hidden="1" customHeight="1">
      <c r="B1120" s="13"/>
      <c r="C1120" s="2"/>
      <c r="D1120" s="13"/>
      <c r="E1120" s="13"/>
      <c r="F1120" s="13"/>
      <c r="G1120" s="13"/>
      <c r="H1120" s="13"/>
      <c r="I1120" s="13"/>
      <c r="J1120" s="29"/>
      <c r="K1120" s="205"/>
      <c r="L1120" s="205"/>
      <c r="M1120" s="113"/>
      <c r="N1120" s="126" t="s">
        <v>98</v>
      </c>
      <c r="O1120" s="126"/>
      <c r="P1120" s="126"/>
      <c r="Q1120" s="126"/>
      <c r="R1120" s="126" t="s">
        <v>73</v>
      </c>
      <c r="S1120" s="126"/>
      <c r="T1120" s="126">
        <v>1000</v>
      </c>
      <c r="U1120" s="126"/>
      <c r="V1120" s="126"/>
      <c r="W1120" s="13"/>
      <c r="X1120" s="13"/>
      <c r="Y1120" s="13"/>
      <c r="Z1120" s="13"/>
      <c r="AA1120" s="13"/>
      <c r="AB1120" s="13"/>
      <c r="AC1120" s="13"/>
      <c r="AD1120" s="13"/>
      <c r="AE1120" s="14"/>
      <c r="AF1120" s="14"/>
    </row>
    <row r="1121" spans="2:32" ht="13.5" hidden="1" customHeight="1">
      <c r="B1121" s="13"/>
      <c r="C1121" s="2"/>
      <c r="D1121" s="13"/>
      <c r="E1121" s="13"/>
      <c r="F1121" s="13"/>
      <c r="G1121" s="13"/>
      <c r="H1121" s="13"/>
      <c r="I1121" s="13"/>
      <c r="J1121" s="29"/>
      <c r="K1121" s="29"/>
      <c r="L1121" s="6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4"/>
      <c r="AF1121" s="14"/>
    </row>
    <row r="1122" spans="2:32" ht="13.5" hidden="1" customHeight="1">
      <c r="B1122" s="13"/>
      <c r="C1122" s="2"/>
      <c r="D1122" s="13"/>
      <c r="E1122" s="13"/>
      <c r="F1122" s="13"/>
      <c r="G1122" s="13"/>
      <c r="H1122" s="13"/>
      <c r="I1122" s="13"/>
      <c r="J1122" s="29"/>
      <c r="K1122" s="205" t="s">
        <v>97</v>
      </c>
      <c r="L1122" s="205"/>
      <c r="M1122" s="173" t="s">
        <v>1</v>
      </c>
      <c r="N1122" s="174" t="e">
        <f>N1092</f>
        <v>#REF!</v>
      </c>
      <c r="O1122" s="174"/>
      <c r="P1122" s="174"/>
      <c r="Q1122" s="146" t="s">
        <v>73</v>
      </c>
      <c r="R1122" s="146"/>
      <c r="S1122" s="174" t="e">
        <f>#REF!</f>
        <v>#REF!</v>
      </c>
      <c r="T1122" s="174"/>
      <c r="U1122" s="174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4"/>
      <c r="AF1122" s="14"/>
    </row>
    <row r="1123" spans="2:32" ht="13.5" hidden="1" customHeight="1">
      <c r="B1123" s="13"/>
      <c r="C1123" s="2"/>
      <c r="D1123" s="13"/>
      <c r="E1123" s="13"/>
      <c r="F1123" s="13"/>
      <c r="G1123" s="13"/>
      <c r="H1123" s="13"/>
      <c r="I1123" s="13"/>
      <c r="J1123" s="29"/>
      <c r="K1123" s="205"/>
      <c r="L1123" s="205"/>
      <c r="M1123" s="113"/>
      <c r="N1123" s="196" t="e">
        <f>(#REF!/1000)*(#REF!/1000)</f>
        <v>#REF!</v>
      </c>
      <c r="O1123" s="196"/>
      <c r="P1123" s="196"/>
      <c r="Q1123" s="126" t="s">
        <v>73</v>
      </c>
      <c r="R1123" s="126"/>
      <c r="S1123" s="196">
        <v>1000</v>
      </c>
      <c r="T1123" s="196"/>
      <c r="U1123" s="196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4"/>
      <c r="AF1123" s="14"/>
    </row>
    <row r="1124" spans="2:32" ht="13.5" hidden="1" customHeight="1">
      <c r="B1124" s="13"/>
      <c r="C1124" s="2"/>
      <c r="D1124" s="13"/>
      <c r="E1124" s="13"/>
      <c r="F1124" s="13"/>
      <c r="G1124" s="13"/>
      <c r="H1124" s="13"/>
      <c r="I1124" s="13"/>
      <c r="J1124" s="29"/>
      <c r="K1124" s="29"/>
      <c r="L1124" s="6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4"/>
      <c r="AF1124" s="14"/>
    </row>
    <row r="1125" spans="2:32" ht="13.5" hidden="1" customHeight="1">
      <c r="B1125" s="13"/>
      <c r="C1125" s="2"/>
      <c r="D1125" s="13"/>
      <c r="E1125" s="13"/>
      <c r="F1125" s="13"/>
      <c r="G1125" s="13"/>
      <c r="H1125" s="13"/>
      <c r="I1125" s="13"/>
      <c r="J1125" s="29"/>
      <c r="K1125" s="205" t="s">
        <v>97</v>
      </c>
      <c r="L1125" s="205"/>
      <c r="M1125" s="173" t="s">
        <v>1</v>
      </c>
      <c r="N1125" s="176" t="e">
        <f>(N1122*S1122)/(N1123*S1123)</f>
        <v>#REF!</v>
      </c>
      <c r="O1125" s="176"/>
      <c r="P1125" s="176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4"/>
      <c r="AF1125" s="14"/>
    </row>
    <row r="1126" spans="2:32" ht="13.5" hidden="1" customHeight="1">
      <c r="B1126" s="13"/>
      <c r="C1126" s="2"/>
      <c r="D1126" s="13"/>
      <c r="E1126" s="13"/>
      <c r="F1126" s="13"/>
      <c r="G1126" s="13"/>
      <c r="H1126" s="13"/>
      <c r="I1126" s="13"/>
      <c r="J1126" s="29"/>
      <c r="K1126" s="205"/>
      <c r="L1126" s="205"/>
      <c r="M1126" s="113"/>
      <c r="N1126" s="176"/>
      <c r="O1126" s="176"/>
      <c r="P1126" s="176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4"/>
      <c r="AF1126" s="14"/>
    </row>
    <row r="1127" spans="2:32" ht="13.5" hidden="1" customHeight="1">
      <c r="B1127" s="13"/>
      <c r="C1127" s="2"/>
      <c r="D1127" s="13"/>
      <c r="E1127" s="13"/>
      <c r="F1127" s="13"/>
      <c r="G1127" s="13"/>
      <c r="H1127" s="13"/>
      <c r="I1127" s="13"/>
      <c r="J1127" s="29"/>
      <c r="K1127" s="29"/>
      <c r="L1127" s="6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4"/>
      <c r="AF1127" s="14"/>
    </row>
    <row r="1128" spans="2:32" s="11" customFormat="1" ht="13.5" hidden="1" customHeight="1">
      <c r="B1128" s="9"/>
      <c r="C1128" s="3"/>
      <c r="D1128" s="9"/>
      <c r="E1128" s="9"/>
      <c r="F1128" s="9" t="s">
        <v>23</v>
      </c>
      <c r="G1128" s="9" t="s">
        <v>140</v>
      </c>
      <c r="H1128" s="9"/>
      <c r="I1128" s="9"/>
      <c r="J1128" s="28"/>
      <c r="K1128" s="28"/>
      <c r="L1128" s="7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10"/>
      <c r="AF1128" s="10"/>
    </row>
    <row r="1129" spans="2:32" ht="13.5" hidden="1" customHeight="1">
      <c r="B1129" s="13"/>
      <c r="C1129" s="2"/>
      <c r="D1129" s="13"/>
      <c r="E1129" s="13"/>
      <c r="F1129" s="13"/>
      <c r="G1129" s="13"/>
      <c r="H1129" s="13"/>
      <c r="I1129" s="13"/>
      <c r="J1129" s="29"/>
      <c r="K1129" s="29"/>
      <c r="L1129" s="6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4"/>
      <c r="AF1129" s="14"/>
    </row>
    <row r="1130" spans="2:32" ht="13.5" hidden="1" customHeight="1">
      <c r="B1130" s="13"/>
      <c r="C1130" s="2"/>
      <c r="D1130" s="13"/>
      <c r="E1130" s="13"/>
      <c r="F1130" s="13"/>
      <c r="G1130" s="13"/>
      <c r="H1130" s="13"/>
      <c r="I1130" s="13"/>
      <c r="J1130" s="29"/>
      <c r="K1130" s="205" t="s">
        <v>99</v>
      </c>
      <c r="L1130" s="205"/>
      <c r="M1130" s="173" t="s">
        <v>1</v>
      </c>
      <c r="N1130" s="146" t="s">
        <v>82</v>
      </c>
      <c r="O1130" s="146"/>
      <c r="P1130" s="146"/>
      <c r="Q1130" s="146"/>
      <c r="R1130" s="146" t="s">
        <v>73</v>
      </c>
      <c r="S1130" s="146"/>
      <c r="T1130" s="146" t="s">
        <v>81</v>
      </c>
      <c r="U1130" s="146"/>
      <c r="V1130" s="146"/>
      <c r="W1130" s="13"/>
      <c r="X1130" s="13"/>
      <c r="Y1130" s="13"/>
      <c r="Z1130" s="13"/>
      <c r="AA1130" s="13"/>
      <c r="AB1130" s="13"/>
      <c r="AC1130" s="13"/>
      <c r="AD1130" s="13"/>
      <c r="AE1130" s="14"/>
      <c r="AF1130" s="14"/>
    </row>
    <row r="1131" spans="2:32" ht="13.5" hidden="1" customHeight="1">
      <c r="B1131" s="13"/>
      <c r="C1131" s="2"/>
      <c r="D1131" s="13"/>
      <c r="E1131" s="13"/>
      <c r="F1131" s="13"/>
      <c r="G1131" s="13"/>
      <c r="H1131" s="13"/>
      <c r="I1131" s="13"/>
      <c r="J1131" s="29"/>
      <c r="K1131" s="205"/>
      <c r="L1131" s="205"/>
      <c r="M1131" s="113"/>
      <c r="N1131" s="126" t="s">
        <v>98</v>
      </c>
      <c r="O1131" s="126"/>
      <c r="P1131" s="126"/>
      <c r="Q1131" s="126"/>
      <c r="R1131" s="126" t="s">
        <v>73</v>
      </c>
      <c r="S1131" s="126"/>
      <c r="T1131" s="126">
        <v>1000</v>
      </c>
      <c r="U1131" s="126"/>
      <c r="V1131" s="126"/>
      <c r="W1131" s="13"/>
      <c r="X1131" s="13"/>
      <c r="Y1131" s="13"/>
      <c r="Z1131" s="13"/>
      <c r="AA1131" s="13"/>
      <c r="AB1131" s="13"/>
      <c r="AC1131" s="13"/>
      <c r="AD1131" s="13"/>
      <c r="AE1131" s="14"/>
      <c r="AF1131" s="14"/>
    </row>
    <row r="1132" spans="2:32" ht="13.5" hidden="1" customHeight="1">
      <c r="B1132" s="13"/>
      <c r="C1132" s="2"/>
      <c r="D1132" s="13"/>
      <c r="E1132" s="13"/>
      <c r="F1132" s="13"/>
      <c r="G1132" s="13"/>
      <c r="H1132" s="13"/>
      <c r="I1132" s="13"/>
      <c r="J1132" s="29"/>
      <c r="K1132" s="29"/>
      <c r="L1132" s="6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4"/>
      <c r="AF1132" s="14"/>
    </row>
    <row r="1133" spans="2:32" ht="13.5" hidden="1" customHeight="1">
      <c r="B1133" s="13"/>
      <c r="C1133" s="2"/>
      <c r="D1133" s="13"/>
      <c r="E1133" s="13"/>
      <c r="F1133" s="13"/>
      <c r="G1133" s="13"/>
      <c r="H1133" s="13"/>
      <c r="I1133" s="13"/>
      <c r="J1133" s="29"/>
      <c r="K1133" s="205" t="s">
        <v>99</v>
      </c>
      <c r="L1133" s="205"/>
      <c r="M1133" s="173" t="s">
        <v>1</v>
      </c>
      <c r="N1133" s="174" t="e">
        <f>N1102</f>
        <v>#REF!</v>
      </c>
      <c r="O1133" s="174"/>
      <c r="P1133" s="174"/>
      <c r="Q1133" s="146" t="s">
        <v>73</v>
      </c>
      <c r="R1133" s="146"/>
      <c r="S1133" s="174" t="e">
        <f>#REF!</f>
        <v>#REF!</v>
      </c>
      <c r="T1133" s="174"/>
      <c r="U1133" s="174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4"/>
      <c r="AF1133" s="14"/>
    </row>
    <row r="1134" spans="2:32" ht="13.5" hidden="1" customHeight="1">
      <c r="B1134" s="13"/>
      <c r="C1134" s="2"/>
      <c r="D1134" s="13"/>
      <c r="E1134" s="13"/>
      <c r="F1134" s="13"/>
      <c r="G1134" s="13"/>
      <c r="H1134" s="13"/>
      <c r="I1134" s="13"/>
      <c r="J1134" s="29"/>
      <c r="K1134" s="205"/>
      <c r="L1134" s="205"/>
      <c r="M1134" s="113"/>
      <c r="N1134" s="196" t="e">
        <f>(#REF!/1000)*(#REF!/1000)</f>
        <v>#REF!</v>
      </c>
      <c r="O1134" s="196"/>
      <c r="P1134" s="196"/>
      <c r="Q1134" s="126" t="s">
        <v>73</v>
      </c>
      <c r="R1134" s="126"/>
      <c r="S1134" s="196">
        <v>1000</v>
      </c>
      <c r="T1134" s="196"/>
      <c r="U1134" s="196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4"/>
      <c r="AF1134" s="14"/>
    </row>
    <row r="1135" spans="2:32" ht="13.5" hidden="1" customHeight="1">
      <c r="B1135" s="13"/>
      <c r="C1135" s="2"/>
      <c r="D1135" s="13"/>
      <c r="E1135" s="13"/>
      <c r="F1135" s="13"/>
      <c r="G1135" s="13"/>
      <c r="H1135" s="13"/>
      <c r="I1135" s="13"/>
      <c r="J1135" s="29"/>
      <c r="K1135" s="29"/>
      <c r="L1135" s="6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4"/>
      <c r="AF1135" s="14"/>
    </row>
    <row r="1136" spans="2:32" ht="13.5" hidden="1" customHeight="1">
      <c r="B1136" s="13"/>
      <c r="C1136" s="2"/>
      <c r="D1136" s="13"/>
      <c r="E1136" s="13"/>
      <c r="F1136" s="13"/>
      <c r="G1136" s="13"/>
      <c r="H1136" s="13"/>
      <c r="I1136" s="13"/>
      <c r="J1136" s="29"/>
      <c r="K1136" s="205" t="s">
        <v>99</v>
      </c>
      <c r="L1136" s="205"/>
      <c r="M1136" s="173" t="s">
        <v>1</v>
      </c>
      <c r="N1136" s="176" t="e">
        <f>(N1133*S1133)/(N1134*S1134)</f>
        <v>#REF!</v>
      </c>
      <c r="O1136" s="176"/>
      <c r="P1136" s="176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4"/>
      <c r="AF1136" s="14"/>
    </row>
    <row r="1137" spans="2:32" ht="13.5" hidden="1" customHeight="1">
      <c r="B1137" s="13"/>
      <c r="C1137" s="2"/>
      <c r="D1137" s="13"/>
      <c r="E1137" s="13"/>
      <c r="F1137" s="13"/>
      <c r="G1137" s="13"/>
      <c r="H1137" s="13"/>
      <c r="I1137" s="13"/>
      <c r="J1137" s="29"/>
      <c r="K1137" s="205"/>
      <c r="L1137" s="205"/>
      <c r="M1137" s="113"/>
      <c r="N1137" s="176"/>
      <c r="O1137" s="176"/>
      <c r="P1137" s="176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4"/>
      <c r="AF1137" s="14"/>
    </row>
    <row r="1138" spans="2:32" ht="13.5" hidden="1" customHeight="1">
      <c r="B1138" s="13"/>
      <c r="C1138" s="2"/>
      <c r="D1138" s="13"/>
      <c r="E1138" s="13"/>
      <c r="F1138" s="13"/>
      <c r="G1138" s="13"/>
      <c r="H1138" s="13"/>
      <c r="I1138" s="13"/>
      <c r="J1138" s="29"/>
      <c r="K1138" s="29"/>
      <c r="L1138" s="29"/>
      <c r="M1138" s="13"/>
      <c r="N1138" s="17"/>
      <c r="O1138" s="17"/>
      <c r="P1138" s="17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4"/>
      <c r="AF1138" s="14"/>
    </row>
    <row r="1139" spans="2:32" ht="13.5" hidden="1" customHeight="1">
      <c r="B1139" s="13"/>
      <c r="C1139" s="2"/>
      <c r="D1139" s="13"/>
      <c r="E1139" s="13"/>
      <c r="F1139" s="13"/>
      <c r="G1139" s="13"/>
      <c r="H1139" s="13"/>
      <c r="I1139" s="13"/>
      <c r="J1139" s="29"/>
      <c r="K1139" s="29"/>
      <c r="L1139" s="6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4"/>
      <c r="AF1139" s="14"/>
    </row>
    <row r="1140" spans="2:32" ht="13.5" hidden="1" customHeight="1">
      <c r="B1140" s="13"/>
      <c r="C1140" s="2"/>
      <c r="D1140" s="13"/>
      <c r="E1140" s="13"/>
      <c r="F1140" s="13"/>
      <c r="G1140" s="13" t="s">
        <v>123</v>
      </c>
      <c r="H1140" s="13"/>
      <c r="I1140" s="13"/>
      <c r="J1140" s="29"/>
      <c r="K1140" s="29"/>
      <c r="L1140" s="6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4"/>
      <c r="AF1140" s="14"/>
    </row>
    <row r="1141" spans="2:32" ht="13.5" hidden="1" customHeight="1">
      <c r="B1141" s="13"/>
      <c r="C1141" s="2"/>
      <c r="D1141" s="13"/>
      <c r="E1141" s="13"/>
      <c r="F1141" s="13"/>
      <c r="G1141" s="13"/>
      <c r="H1141" s="13"/>
      <c r="I1141" s="13"/>
      <c r="J1141" s="29"/>
      <c r="K1141" s="29"/>
      <c r="L1141" s="6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4"/>
      <c r="AF1141" s="14"/>
    </row>
    <row r="1142" spans="2:32" s="11" customFormat="1" ht="13.5" hidden="1" customHeight="1">
      <c r="B1142" s="9"/>
      <c r="C1142" s="3"/>
      <c r="D1142" s="9"/>
      <c r="E1142" s="9"/>
      <c r="F1142" s="9" t="s">
        <v>24</v>
      </c>
      <c r="G1142" s="9" t="s">
        <v>79</v>
      </c>
      <c r="H1142" s="9"/>
      <c r="I1142" s="9"/>
      <c r="J1142" s="28"/>
      <c r="K1142" s="28"/>
      <c r="L1142" s="7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10"/>
      <c r="AF1142" s="10"/>
    </row>
    <row r="1143" spans="2:32" ht="13.5" hidden="1" customHeight="1">
      <c r="B1143" s="13"/>
      <c r="C1143" s="2"/>
      <c r="D1143" s="13"/>
      <c r="E1143" s="13"/>
      <c r="F1143" s="13"/>
      <c r="G1143" s="13"/>
      <c r="H1143" s="13"/>
      <c r="I1143" s="13"/>
      <c r="J1143" s="29"/>
      <c r="K1143" s="29"/>
      <c r="L1143" s="6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4"/>
      <c r="AF1143" s="14"/>
    </row>
    <row r="1144" spans="2:32" ht="13.5" hidden="1" customHeight="1">
      <c r="B1144" s="13"/>
      <c r="C1144" s="2"/>
      <c r="D1144" s="13"/>
      <c r="E1144" s="13"/>
      <c r="F1144" s="13"/>
      <c r="G1144" s="13"/>
      <c r="H1144" s="13"/>
      <c r="I1144" s="113" t="s">
        <v>118</v>
      </c>
      <c r="J1144" s="113"/>
      <c r="K1144" s="113"/>
      <c r="L1144" s="113"/>
      <c r="M1144" s="173" t="s">
        <v>1</v>
      </c>
      <c r="N1144" s="197" t="s">
        <v>95</v>
      </c>
      <c r="O1144" s="198"/>
      <c r="P1144" s="198"/>
      <c r="Q1144" s="208" t="s">
        <v>8</v>
      </c>
      <c r="R1144" s="198"/>
      <c r="S1144" s="198" t="s">
        <v>96</v>
      </c>
      <c r="T1144" s="198"/>
      <c r="U1144" s="198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4"/>
      <c r="AF1144" s="14"/>
    </row>
    <row r="1145" spans="2:32" ht="13.5" hidden="1" customHeight="1">
      <c r="B1145" s="13"/>
      <c r="C1145" s="2"/>
      <c r="D1145" s="13"/>
      <c r="E1145" s="13"/>
      <c r="F1145" s="13"/>
      <c r="G1145" s="13"/>
      <c r="H1145" s="13"/>
      <c r="I1145" s="113"/>
      <c r="J1145" s="113"/>
      <c r="K1145" s="113"/>
      <c r="L1145" s="113"/>
      <c r="M1145" s="113"/>
      <c r="N1145" s="199"/>
      <c r="O1145" s="113"/>
      <c r="P1145" s="113"/>
      <c r="Q1145" s="113"/>
      <c r="R1145" s="113"/>
      <c r="S1145" s="113"/>
      <c r="T1145" s="113"/>
      <c r="U1145" s="1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4"/>
      <c r="AF1145" s="14"/>
    </row>
    <row r="1146" spans="2:32" ht="13.5" hidden="1" customHeight="1">
      <c r="B1146" s="13"/>
      <c r="C1146" s="2"/>
      <c r="D1146" s="13"/>
      <c r="E1146" s="13"/>
      <c r="F1146" s="13"/>
      <c r="G1146" s="13"/>
      <c r="H1146" s="13"/>
      <c r="I1146" s="13"/>
      <c r="J1146" s="29"/>
      <c r="K1146" s="29"/>
      <c r="L1146" s="6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4"/>
      <c r="AF1146" s="14"/>
    </row>
    <row r="1147" spans="2:32" ht="13.5" hidden="1" customHeight="1">
      <c r="B1147" s="13"/>
      <c r="C1147" s="2"/>
      <c r="D1147" s="13"/>
      <c r="E1147" s="13"/>
      <c r="F1147" s="13"/>
      <c r="G1147" s="13"/>
      <c r="H1147" s="13"/>
      <c r="I1147" s="113" t="s">
        <v>118</v>
      </c>
      <c r="J1147" s="113"/>
      <c r="K1147" s="113"/>
      <c r="L1147" s="113"/>
      <c r="M1147" s="173" t="s">
        <v>1</v>
      </c>
      <c r="N1147" s="206" t="e">
        <f>N1125*N1125</f>
        <v>#REF!</v>
      </c>
      <c r="O1147" s="195"/>
      <c r="P1147" s="195"/>
      <c r="Q1147" s="208" t="s">
        <v>8</v>
      </c>
      <c r="R1147" s="198"/>
      <c r="S1147" s="195" t="e">
        <f>N1136*N1136</f>
        <v>#REF!</v>
      </c>
      <c r="T1147" s="195"/>
      <c r="U1147" s="195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4"/>
      <c r="AF1147" s="14"/>
    </row>
    <row r="1148" spans="2:32" ht="13.5" hidden="1" customHeight="1">
      <c r="B1148" s="13"/>
      <c r="C1148" s="2"/>
      <c r="D1148" s="13"/>
      <c r="E1148" s="13"/>
      <c r="F1148" s="13"/>
      <c r="G1148" s="13"/>
      <c r="H1148" s="13"/>
      <c r="I1148" s="113"/>
      <c r="J1148" s="113"/>
      <c r="K1148" s="113"/>
      <c r="L1148" s="113"/>
      <c r="M1148" s="113"/>
      <c r="N1148" s="207"/>
      <c r="O1148" s="176"/>
      <c r="P1148" s="176"/>
      <c r="Q1148" s="113"/>
      <c r="R1148" s="113"/>
      <c r="S1148" s="176"/>
      <c r="T1148" s="176"/>
      <c r="U1148" s="176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4"/>
      <c r="AF1148" s="14"/>
    </row>
    <row r="1149" spans="2:32" ht="13.5" hidden="1" customHeight="1">
      <c r="B1149" s="13"/>
      <c r="C1149" s="2"/>
      <c r="D1149" s="13"/>
      <c r="E1149" s="13"/>
      <c r="F1149" s="13"/>
      <c r="G1149" s="13"/>
      <c r="H1149" s="13"/>
      <c r="I1149" s="13"/>
      <c r="J1149" s="29"/>
      <c r="K1149" s="29"/>
      <c r="L1149" s="6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4"/>
      <c r="AF1149" s="14"/>
    </row>
    <row r="1150" spans="2:32" ht="13.5" hidden="1" customHeight="1">
      <c r="B1150" s="13"/>
      <c r="C1150" s="2"/>
      <c r="D1150" s="13"/>
      <c r="E1150" s="13"/>
      <c r="F1150" s="13"/>
      <c r="G1150" s="13"/>
      <c r="H1150" s="13"/>
      <c r="I1150" s="113" t="s">
        <v>118</v>
      </c>
      <c r="J1150" s="113"/>
      <c r="K1150" s="113"/>
      <c r="L1150" s="113"/>
      <c r="M1150" s="173" t="s">
        <v>1</v>
      </c>
      <c r="N1150" s="176" t="e">
        <f>SQRT(N1147+S1147)</f>
        <v>#REF!</v>
      </c>
      <c r="O1150" s="176"/>
      <c r="P1150" s="176"/>
      <c r="Q1150" s="176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4"/>
      <c r="AF1150" s="14"/>
    </row>
    <row r="1151" spans="2:32" ht="13.5" hidden="1" customHeight="1">
      <c r="B1151" s="13"/>
      <c r="C1151" s="2"/>
      <c r="D1151" s="13"/>
      <c r="E1151" s="13"/>
      <c r="F1151" s="13"/>
      <c r="G1151" s="13"/>
      <c r="H1151" s="13"/>
      <c r="I1151" s="113"/>
      <c r="J1151" s="113"/>
      <c r="K1151" s="113"/>
      <c r="L1151" s="113"/>
      <c r="M1151" s="113"/>
      <c r="N1151" s="176"/>
      <c r="O1151" s="176"/>
      <c r="P1151" s="176"/>
      <c r="Q1151" s="176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4"/>
      <c r="AF1151" s="14"/>
    </row>
    <row r="1152" spans="2:32" ht="13.5" hidden="1" customHeight="1">
      <c r="B1152" s="21"/>
      <c r="C1152" s="34"/>
      <c r="D1152" s="21"/>
      <c r="E1152" s="21"/>
      <c r="F1152" s="21"/>
      <c r="G1152" s="21"/>
      <c r="H1152" s="21"/>
      <c r="I1152" s="21"/>
      <c r="J1152" s="35"/>
      <c r="K1152" s="35"/>
      <c r="L1152" s="35"/>
      <c r="M1152" s="21"/>
      <c r="N1152" s="36"/>
      <c r="O1152" s="36"/>
      <c r="P1152" s="36"/>
      <c r="Q1152" s="36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3"/>
      <c r="AF1152" s="14"/>
    </row>
    <row r="1153" spans="2:32" ht="13.5" hidden="1" customHeight="1">
      <c r="B1153" s="13"/>
      <c r="C1153" s="2"/>
      <c r="D1153" s="13"/>
      <c r="E1153" s="13"/>
      <c r="F1153" s="13"/>
      <c r="G1153" s="13"/>
      <c r="H1153" s="13"/>
      <c r="I1153" s="13"/>
      <c r="J1153" s="29"/>
      <c r="K1153" s="29"/>
      <c r="L1153" s="29"/>
      <c r="M1153" s="13"/>
      <c r="N1153" s="17"/>
      <c r="O1153" s="17"/>
      <c r="P1153" s="17"/>
      <c r="Q1153" s="17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4"/>
      <c r="AF1153" s="14"/>
    </row>
    <row r="1154" spans="2:32" s="11" customFormat="1" ht="13.5" hidden="1" customHeight="1">
      <c r="B1154" s="9"/>
      <c r="C1154" s="9" t="s">
        <v>58</v>
      </c>
      <c r="D1154" s="9"/>
      <c r="E1154" s="9" t="s">
        <v>128</v>
      </c>
      <c r="F1154" s="9"/>
      <c r="G1154" s="20"/>
      <c r="H1154" s="37"/>
      <c r="I1154" s="7"/>
      <c r="J1154" s="7"/>
      <c r="K1154" s="7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10"/>
      <c r="AF1154" s="10"/>
    </row>
    <row r="1155" spans="2:32" ht="13.5" hidden="1" customHeight="1">
      <c r="B1155" s="13"/>
      <c r="C1155" s="13"/>
      <c r="D1155" s="13"/>
      <c r="E1155" s="13"/>
      <c r="F1155" s="13"/>
      <c r="G1155" s="18"/>
      <c r="H1155" s="38"/>
      <c r="I1155" s="6"/>
      <c r="J1155" s="6"/>
      <c r="K1155" s="6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4"/>
      <c r="AF1155" s="14"/>
    </row>
    <row r="1156" spans="2:32" ht="13.5" hidden="1" customHeight="1">
      <c r="B1156" s="13"/>
      <c r="C1156" s="13"/>
      <c r="D1156" s="13"/>
      <c r="E1156" s="125" t="s">
        <v>91</v>
      </c>
      <c r="F1156" s="125"/>
      <c r="G1156" s="30" t="s">
        <v>1</v>
      </c>
      <c r="H1156" s="125" t="s">
        <v>92</v>
      </c>
      <c r="I1156" s="125"/>
      <c r="J1156" s="125"/>
      <c r="K1156" s="175" t="s">
        <v>8</v>
      </c>
      <c r="L1156" s="125"/>
      <c r="M1156" s="125" t="s">
        <v>100</v>
      </c>
      <c r="N1156" s="125"/>
      <c r="O1156" s="125"/>
      <c r="P1156" s="175" t="s">
        <v>8</v>
      </c>
      <c r="Q1156" s="175"/>
      <c r="R1156" s="125" t="s">
        <v>69</v>
      </c>
      <c r="S1156" s="125"/>
      <c r="T1156" s="125"/>
      <c r="U1156" s="30" t="s">
        <v>8</v>
      </c>
      <c r="V1156" s="128" t="s">
        <v>13</v>
      </c>
      <c r="W1156" s="128"/>
      <c r="X1156" s="128"/>
      <c r="Y1156" s="30" t="s">
        <v>8</v>
      </c>
      <c r="Z1156" s="128" t="s">
        <v>118</v>
      </c>
      <c r="AA1156" s="128"/>
      <c r="AB1156" s="128"/>
      <c r="AC1156" s="128"/>
      <c r="AD1156" s="2"/>
      <c r="AE1156" s="14"/>
      <c r="AF1156" s="14"/>
    </row>
    <row r="1157" spans="2:32" ht="13.5" hidden="1" customHeight="1">
      <c r="B1157" s="13"/>
      <c r="C1157" s="13"/>
      <c r="D1157" s="13"/>
      <c r="E1157" s="125" t="s">
        <v>91</v>
      </c>
      <c r="F1157" s="125"/>
      <c r="G1157" s="30" t="s">
        <v>1</v>
      </c>
      <c r="H1157" s="177" t="e">
        <f>#REF!</f>
        <v>#REF!</v>
      </c>
      <c r="I1157" s="177"/>
      <c r="J1157" s="177"/>
      <c r="K1157" s="175" t="s">
        <v>8</v>
      </c>
      <c r="L1157" s="125"/>
      <c r="M1157" s="177" t="e">
        <f>#REF!</f>
        <v>#REF!</v>
      </c>
      <c r="N1157" s="177"/>
      <c r="O1157" s="177"/>
      <c r="P1157" s="175" t="s">
        <v>8</v>
      </c>
      <c r="Q1157" s="175"/>
      <c r="R1157" s="177" t="e">
        <f>#REF!</f>
        <v>#REF!</v>
      </c>
      <c r="S1157" s="177"/>
      <c r="T1157" s="177"/>
      <c r="U1157" s="30" t="s">
        <v>8</v>
      </c>
      <c r="V1157" s="177" t="e">
        <f>$N$766</f>
        <v>#REF!</v>
      </c>
      <c r="W1157" s="177"/>
      <c r="X1157" s="177"/>
      <c r="Y1157" s="30" t="s">
        <v>8</v>
      </c>
      <c r="Z1157" s="177" t="e">
        <f>N1150</f>
        <v>#REF!</v>
      </c>
      <c r="AA1157" s="177"/>
      <c r="AB1157" s="177"/>
      <c r="AC1157" s="177"/>
      <c r="AD1157" s="31"/>
      <c r="AE1157" s="14"/>
      <c r="AF1157" s="14"/>
    </row>
    <row r="1158" spans="2:32" ht="13.5" hidden="1" customHeight="1">
      <c r="B1158" s="13"/>
      <c r="C1158" s="13"/>
      <c r="D1158" s="13"/>
      <c r="E1158" s="125" t="s">
        <v>91</v>
      </c>
      <c r="F1158" s="125"/>
      <c r="G1158" s="30" t="s">
        <v>1</v>
      </c>
      <c r="H1158" s="177" t="e">
        <f>H1157+M1157+R1157+V1157+Z1157</f>
        <v>#REF!</v>
      </c>
      <c r="I1158" s="177"/>
      <c r="J1158" s="177"/>
      <c r="K1158" s="175"/>
      <c r="L1158" s="125"/>
      <c r="M1158" s="125"/>
      <c r="N1158" s="125"/>
      <c r="O1158" s="125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4"/>
      <c r="AF1158" s="14"/>
    </row>
    <row r="1159" spans="2:32" ht="13.5" hidden="1" customHeight="1">
      <c r="B1159" s="13"/>
      <c r="C1159" s="2"/>
      <c r="D1159" s="13"/>
      <c r="E1159" s="13"/>
      <c r="F1159" s="13"/>
      <c r="G1159" s="13"/>
      <c r="H1159" s="13"/>
      <c r="I1159" s="13"/>
      <c r="J1159" s="29"/>
      <c r="K1159" s="29"/>
      <c r="L1159" s="29"/>
      <c r="M1159" s="13"/>
      <c r="N1159" s="17"/>
      <c r="O1159" s="17"/>
      <c r="P1159" s="17"/>
      <c r="Q1159" s="17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4"/>
      <c r="AF1159" s="14"/>
    </row>
    <row r="1160" spans="2:32" ht="13.5" hidden="1" customHeight="1">
      <c r="B1160" s="13"/>
      <c r="C1160" s="2"/>
      <c r="D1160" s="13"/>
      <c r="E1160" s="13"/>
      <c r="F1160" s="13"/>
      <c r="G1160" s="13"/>
      <c r="H1160" s="13"/>
      <c r="I1160" s="13"/>
      <c r="J1160" s="29"/>
      <c r="K1160" s="29"/>
      <c r="L1160" s="29"/>
      <c r="M1160" s="13"/>
      <c r="N1160" s="17"/>
      <c r="O1160" s="17"/>
      <c r="P1160" s="17"/>
      <c r="Q1160" s="17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4"/>
      <c r="AF1160" s="14"/>
    </row>
    <row r="1161" spans="2:32" s="11" customFormat="1" ht="13.5" hidden="1" customHeight="1">
      <c r="B1161" s="9"/>
      <c r="C1161" s="3"/>
      <c r="D1161" s="9"/>
      <c r="E1161" s="9"/>
      <c r="F1161" s="9" t="s">
        <v>59</v>
      </c>
      <c r="G1161" s="9" t="s">
        <v>83</v>
      </c>
      <c r="H1161" s="9"/>
      <c r="I1161" s="9"/>
      <c r="J1161" s="28"/>
      <c r="K1161" s="28"/>
      <c r="L1161" s="7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10"/>
      <c r="AF1161" s="10"/>
    </row>
    <row r="1162" spans="2:32" ht="13.5" hidden="1" customHeight="1">
      <c r="B1162" s="13"/>
      <c r="C1162" s="2"/>
      <c r="D1162" s="13"/>
      <c r="E1162" s="13"/>
      <c r="F1162" s="13"/>
      <c r="G1162" s="13"/>
      <c r="H1162" s="13"/>
      <c r="I1162" s="13"/>
      <c r="J1162" s="29"/>
      <c r="K1162" s="29"/>
      <c r="L1162" s="6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4"/>
      <c r="AF1162" s="14"/>
    </row>
    <row r="1163" spans="2:32" ht="13.5" hidden="1" customHeight="1">
      <c r="B1163" s="13"/>
      <c r="C1163" s="2"/>
      <c r="D1163" s="13"/>
      <c r="E1163" s="13"/>
      <c r="F1163" s="13"/>
      <c r="G1163" s="13"/>
      <c r="H1163" s="13"/>
      <c r="I1163" s="13"/>
      <c r="J1163" s="205" t="s">
        <v>93</v>
      </c>
      <c r="K1163" s="205"/>
      <c r="L1163" s="173" t="s">
        <v>1</v>
      </c>
      <c r="M1163" s="146" t="s">
        <v>72</v>
      </c>
      <c r="N1163" s="146"/>
      <c r="O1163" s="146"/>
      <c r="P1163" s="146"/>
      <c r="Q1163" s="146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4"/>
      <c r="AF1163" s="14"/>
    </row>
    <row r="1164" spans="2:32" ht="13.5" hidden="1" customHeight="1">
      <c r="B1164" s="13"/>
      <c r="C1164" s="2"/>
      <c r="D1164" s="13"/>
      <c r="E1164" s="13"/>
      <c r="F1164" s="13"/>
      <c r="G1164" s="13"/>
      <c r="H1164" s="13"/>
      <c r="I1164" s="13"/>
      <c r="J1164" s="205"/>
      <c r="K1164" s="205"/>
      <c r="L1164" s="173"/>
      <c r="M1164" s="126" t="s">
        <v>70</v>
      </c>
      <c r="N1164" s="126"/>
      <c r="O1164" s="126"/>
      <c r="P1164" s="126"/>
      <c r="Q1164" s="126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4"/>
      <c r="AF1164" s="14"/>
    </row>
    <row r="1165" spans="2:32" ht="13.5" hidden="1" customHeight="1">
      <c r="B1165" s="13"/>
      <c r="C1165" s="2"/>
      <c r="D1165" s="13"/>
      <c r="E1165" s="13"/>
      <c r="F1165" s="13"/>
      <c r="G1165" s="13"/>
      <c r="H1165" s="13"/>
      <c r="I1165" s="13"/>
      <c r="J1165" s="29"/>
      <c r="K1165" s="29"/>
      <c r="L1165" s="6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4"/>
      <c r="AF1165" s="14"/>
    </row>
    <row r="1166" spans="2:32" ht="13.5" hidden="1" customHeight="1">
      <c r="B1166" s="13"/>
      <c r="C1166" s="2"/>
      <c r="D1166" s="13"/>
      <c r="E1166" s="13"/>
      <c r="F1166" s="13"/>
      <c r="G1166" s="13"/>
      <c r="H1166" s="13"/>
      <c r="I1166" s="13"/>
      <c r="J1166" s="205" t="s">
        <v>93</v>
      </c>
      <c r="K1166" s="205"/>
      <c r="L1166" s="173" t="s">
        <v>1</v>
      </c>
      <c r="M1166" s="174" t="e">
        <f>#REF!</f>
        <v>#REF!</v>
      </c>
      <c r="N1166" s="174"/>
      <c r="O1166" s="174"/>
      <c r="P1166" s="174"/>
      <c r="Q1166" s="174"/>
      <c r="R1166" s="174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4"/>
      <c r="AF1166" s="14"/>
    </row>
    <row r="1167" spans="2:32" ht="13.5" hidden="1" customHeight="1">
      <c r="B1167" s="13"/>
      <c r="C1167" s="2"/>
      <c r="D1167" s="13"/>
      <c r="E1167" s="13"/>
      <c r="F1167" s="13"/>
      <c r="G1167" s="13"/>
      <c r="H1167" s="13"/>
      <c r="I1167" s="13"/>
      <c r="J1167" s="205"/>
      <c r="K1167" s="205"/>
      <c r="L1167" s="173"/>
      <c r="M1167" s="31">
        <v>4</v>
      </c>
      <c r="N1167" s="6" t="s">
        <v>73</v>
      </c>
      <c r="O1167" s="211">
        <v>800</v>
      </c>
      <c r="P1167" s="211"/>
      <c r="Q1167" s="211"/>
      <c r="R1167" s="211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4"/>
      <c r="AF1167" s="14"/>
    </row>
    <row r="1168" spans="2:32" ht="13.5" hidden="1" customHeight="1">
      <c r="B1168" s="13"/>
      <c r="C1168" s="2"/>
      <c r="D1168" s="13"/>
      <c r="E1168" s="13"/>
      <c r="F1168" s="13"/>
      <c r="G1168" s="13"/>
      <c r="H1168" s="13"/>
      <c r="I1168" s="13"/>
      <c r="J1168" s="29"/>
      <c r="K1168" s="29"/>
      <c r="L1168" s="6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4"/>
      <c r="AF1168" s="14"/>
    </row>
    <row r="1169" spans="2:32" ht="13.5" hidden="1" customHeight="1">
      <c r="B1169" s="13"/>
      <c r="C1169" s="2"/>
      <c r="D1169" s="13"/>
      <c r="E1169" s="13"/>
      <c r="F1169" s="13"/>
      <c r="G1169" s="13"/>
      <c r="H1169" s="13"/>
      <c r="I1169" s="13"/>
      <c r="J1169" s="205" t="s">
        <v>93</v>
      </c>
      <c r="K1169" s="205"/>
      <c r="L1169" s="173" t="s">
        <v>1</v>
      </c>
      <c r="M1169" s="113"/>
      <c r="N1169" s="176" t="e">
        <f>M1166/M1167/O1167</f>
        <v>#REF!</v>
      </c>
      <c r="O1169" s="176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4"/>
      <c r="AF1169" s="14"/>
    </row>
    <row r="1170" spans="2:32" ht="13.5" hidden="1" customHeight="1">
      <c r="B1170" s="13"/>
      <c r="C1170" s="2"/>
      <c r="D1170" s="13"/>
      <c r="E1170" s="13"/>
      <c r="F1170" s="13"/>
      <c r="G1170" s="13"/>
      <c r="H1170" s="13"/>
      <c r="I1170" s="13"/>
      <c r="J1170" s="205"/>
      <c r="K1170" s="205"/>
      <c r="L1170" s="173"/>
      <c r="M1170" s="113"/>
      <c r="N1170" s="176"/>
      <c r="O1170" s="176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4"/>
      <c r="AF1170" s="14"/>
    </row>
    <row r="1171" spans="2:32" ht="13.5" hidden="1" customHeight="1">
      <c r="B1171" s="13"/>
      <c r="C1171" s="2"/>
      <c r="D1171" s="13"/>
      <c r="E1171" s="13"/>
      <c r="F1171" s="13"/>
      <c r="G1171" s="13"/>
      <c r="H1171" s="13"/>
      <c r="I1171" s="13"/>
      <c r="J1171" s="29"/>
      <c r="K1171" s="29"/>
      <c r="L1171" s="29"/>
      <c r="M1171" s="13"/>
      <c r="N1171" s="17"/>
      <c r="O1171" s="17"/>
      <c r="P1171" s="17"/>
      <c r="Q1171" s="17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4"/>
      <c r="AF1171" s="14"/>
    </row>
    <row r="1172" spans="2:32" ht="13.5" hidden="1" customHeight="1">
      <c r="B1172" s="13"/>
      <c r="C1172" s="2"/>
      <c r="D1172" s="13"/>
      <c r="E1172" s="13"/>
      <c r="F1172" s="13"/>
      <c r="G1172" s="13"/>
      <c r="H1172" s="13"/>
      <c r="I1172" s="13"/>
      <c r="J1172" s="29"/>
      <c r="K1172" s="29"/>
      <c r="L1172" s="29"/>
      <c r="M1172" s="13"/>
      <c r="N1172" s="17"/>
      <c r="O1172" s="17"/>
      <c r="P1172" s="17"/>
      <c r="Q1172" s="17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4"/>
      <c r="AF1172" s="14"/>
    </row>
    <row r="1173" spans="2:32" s="11" customFormat="1" ht="13.5" hidden="1" customHeight="1">
      <c r="B1173" s="9"/>
      <c r="C1173" s="3"/>
      <c r="D1173" s="9"/>
      <c r="E1173" s="9"/>
      <c r="F1173" s="9" t="s">
        <v>84</v>
      </c>
      <c r="G1173" s="185" t="s">
        <v>151</v>
      </c>
      <c r="H1173" s="185"/>
      <c r="I1173" s="185"/>
      <c r="J1173" s="185"/>
      <c r="K1173" s="185"/>
      <c r="L1173" s="185"/>
      <c r="M1173" s="185"/>
      <c r="N1173" s="185"/>
      <c r="O1173" s="185"/>
      <c r="P1173" s="185"/>
      <c r="Q1173" s="185"/>
      <c r="R1173" s="185"/>
      <c r="S1173" s="185"/>
      <c r="T1173" s="185"/>
      <c r="U1173" s="185"/>
      <c r="V1173" s="9"/>
      <c r="W1173" s="9"/>
      <c r="X1173" s="9"/>
      <c r="Y1173" s="9"/>
      <c r="Z1173" s="9"/>
      <c r="AA1173" s="9"/>
      <c r="AB1173" s="9"/>
      <c r="AC1173" s="9"/>
      <c r="AD1173" s="9"/>
      <c r="AE1173" s="10"/>
      <c r="AF1173" s="10"/>
    </row>
    <row r="1174" spans="2:32" ht="13.5" hidden="1" customHeight="1">
      <c r="B1174" s="13"/>
      <c r="C1174" s="2"/>
      <c r="D1174" s="13"/>
      <c r="E1174" s="13"/>
      <c r="F1174" s="13"/>
      <c r="G1174" s="13"/>
      <c r="H1174" s="13"/>
      <c r="I1174" s="13"/>
      <c r="J1174" s="29"/>
      <c r="K1174" s="29"/>
      <c r="L1174" s="6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4"/>
      <c r="AF1174" s="14"/>
    </row>
    <row r="1175" spans="2:32" ht="13.5" hidden="1" customHeight="1">
      <c r="B1175" s="13"/>
      <c r="C1175" s="2"/>
      <c r="D1175" s="13"/>
      <c r="E1175" s="13"/>
      <c r="F1175" s="13"/>
      <c r="G1175" s="13"/>
      <c r="H1175" s="13"/>
      <c r="I1175" s="13"/>
      <c r="J1175" s="113" t="s">
        <v>124</v>
      </c>
      <c r="K1175" s="113"/>
      <c r="L1175" s="113"/>
      <c r="M1175" s="173" t="s">
        <v>1</v>
      </c>
      <c r="N1175" s="146" t="s">
        <v>91</v>
      </c>
      <c r="O1175" s="146"/>
      <c r="P1175" s="146"/>
      <c r="Q1175" s="146" t="s">
        <v>73</v>
      </c>
      <c r="R1175" s="146"/>
      <c r="S1175" s="146" t="s">
        <v>93</v>
      </c>
      <c r="T1175" s="146"/>
      <c r="U1175" s="146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4"/>
      <c r="AF1175" s="14"/>
    </row>
    <row r="1176" spans="2:32" ht="13.5" hidden="1" customHeight="1">
      <c r="B1176" s="13"/>
      <c r="C1176" s="2"/>
      <c r="D1176" s="13"/>
      <c r="E1176" s="13"/>
      <c r="F1176" s="13"/>
      <c r="G1176" s="13"/>
      <c r="H1176" s="13"/>
      <c r="I1176" s="13"/>
      <c r="J1176" s="113"/>
      <c r="K1176" s="113"/>
      <c r="L1176" s="113"/>
      <c r="M1176" s="113"/>
      <c r="N1176" s="125" t="s">
        <v>91</v>
      </c>
      <c r="O1176" s="125"/>
      <c r="P1176" s="125"/>
      <c r="Q1176" s="175" t="s">
        <v>8</v>
      </c>
      <c r="R1176" s="125"/>
      <c r="S1176" s="125" t="s">
        <v>93</v>
      </c>
      <c r="T1176" s="125"/>
      <c r="U1176" s="125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4"/>
      <c r="AF1176" s="14"/>
    </row>
    <row r="1177" spans="2:32" ht="13.5" hidden="1" customHeight="1">
      <c r="B1177" s="13"/>
      <c r="C1177" s="2"/>
      <c r="D1177" s="13"/>
      <c r="E1177" s="13"/>
      <c r="F1177" s="13"/>
      <c r="G1177" s="13"/>
      <c r="H1177" s="13"/>
      <c r="I1177" s="13"/>
      <c r="J1177" s="29"/>
      <c r="K1177" s="29"/>
      <c r="L1177" s="6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4"/>
      <c r="AF1177" s="14"/>
    </row>
    <row r="1178" spans="2:32" ht="13.5" hidden="1" customHeight="1">
      <c r="B1178" s="13"/>
      <c r="C1178" s="2"/>
      <c r="D1178" s="13"/>
      <c r="E1178" s="13"/>
      <c r="F1178" s="13"/>
      <c r="G1178" s="13"/>
      <c r="H1178" s="13"/>
      <c r="I1178" s="13"/>
      <c r="J1178" s="113" t="s">
        <v>124</v>
      </c>
      <c r="K1178" s="113"/>
      <c r="L1178" s="113"/>
      <c r="M1178" s="173" t="s">
        <v>1</v>
      </c>
      <c r="N1178" s="174" t="e">
        <f>H1158</f>
        <v>#REF!</v>
      </c>
      <c r="O1178" s="174"/>
      <c r="P1178" s="174"/>
      <c r="Q1178" s="146" t="s">
        <v>73</v>
      </c>
      <c r="R1178" s="146"/>
      <c r="S1178" s="174" t="e">
        <f>N1169</f>
        <v>#REF!</v>
      </c>
      <c r="T1178" s="174"/>
      <c r="U1178" s="174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4"/>
      <c r="AF1178" s="14"/>
    </row>
    <row r="1179" spans="2:32" ht="13.5" hidden="1" customHeight="1">
      <c r="B1179" s="13"/>
      <c r="C1179" s="2"/>
      <c r="D1179" s="13"/>
      <c r="E1179" s="13"/>
      <c r="F1179" s="13"/>
      <c r="G1179" s="13"/>
      <c r="H1179" s="13"/>
      <c r="I1179" s="13"/>
      <c r="J1179" s="113"/>
      <c r="K1179" s="113"/>
      <c r="L1179" s="113"/>
      <c r="M1179" s="113"/>
      <c r="N1179" s="196" t="e">
        <f>H1158</f>
        <v>#REF!</v>
      </c>
      <c r="O1179" s="196"/>
      <c r="P1179" s="196"/>
      <c r="Q1179" s="210" t="s">
        <v>8</v>
      </c>
      <c r="R1179" s="126"/>
      <c r="S1179" s="196" t="e">
        <f>N1169</f>
        <v>#REF!</v>
      </c>
      <c r="T1179" s="196"/>
      <c r="U1179" s="196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4"/>
      <c r="AF1179" s="14"/>
    </row>
    <row r="1180" spans="2:32" ht="13.5" hidden="1" customHeight="1">
      <c r="B1180" s="13"/>
      <c r="C1180" s="2"/>
      <c r="D1180" s="13"/>
      <c r="E1180" s="13"/>
      <c r="F1180" s="13"/>
      <c r="G1180" s="13"/>
      <c r="H1180" s="13"/>
      <c r="I1180" s="13"/>
      <c r="J1180" s="29"/>
      <c r="K1180" s="29"/>
      <c r="L1180" s="6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4"/>
      <c r="AF1180" s="14"/>
    </row>
    <row r="1181" spans="2:32" ht="13.5" hidden="1" customHeight="1">
      <c r="B1181" s="13"/>
      <c r="C1181" s="2"/>
      <c r="D1181" s="13"/>
      <c r="E1181" s="13"/>
      <c r="F1181" s="13"/>
      <c r="G1181" s="13"/>
      <c r="H1181" s="13"/>
      <c r="I1181" s="13"/>
      <c r="J1181" s="113" t="s">
        <v>124</v>
      </c>
      <c r="K1181" s="113"/>
      <c r="L1181" s="113"/>
      <c r="M1181" s="173" t="s">
        <v>1</v>
      </c>
      <c r="N1181" s="176" t="e">
        <f>(N1178*S1178)/(N1179+S1179)</f>
        <v>#REF!</v>
      </c>
      <c r="O1181" s="176"/>
      <c r="P1181" s="176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4"/>
      <c r="AF1181" s="14"/>
    </row>
    <row r="1182" spans="2:32" ht="13.5" hidden="1" customHeight="1">
      <c r="B1182" s="13"/>
      <c r="C1182" s="2"/>
      <c r="D1182" s="13"/>
      <c r="E1182" s="13"/>
      <c r="F1182" s="13"/>
      <c r="G1182" s="13"/>
      <c r="H1182" s="13"/>
      <c r="I1182" s="13"/>
      <c r="J1182" s="113"/>
      <c r="K1182" s="113"/>
      <c r="L1182" s="113"/>
      <c r="M1182" s="113"/>
      <c r="N1182" s="176"/>
      <c r="O1182" s="176"/>
      <c r="P1182" s="176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4"/>
      <c r="AF1182" s="14"/>
    </row>
    <row r="1183" spans="2:32" ht="13.5" hidden="1" customHeight="1">
      <c r="B1183" s="13"/>
      <c r="C1183" s="2"/>
      <c r="D1183" s="13"/>
      <c r="E1183" s="13"/>
      <c r="F1183" s="13"/>
      <c r="G1183" s="13"/>
      <c r="H1183" s="13"/>
      <c r="I1183" s="13"/>
      <c r="J1183" s="17"/>
      <c r="K1183" s="17"/>
      <c r="L1183" s="17"/>
      <c r="M1183" s="17"/>
      <c r="N1183" s="17"/>
      <c r="O1183" s="17"/>
      <c r="P1183" s="17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4"/>
      <c r="AF1183" s="14"/>
    </row>
    <row r="1184" spans="2:32" ht="13.5" hidden="1" customHeight="1">
      <c r="B1184" s="13"/>
      <c r="C1184" s="2"/>
      <c r="D1184" s="13"/>
      <c r="E1184" s="13"/>
      <c r="F1184" s="13"/>
      <c r="G1184" s="13"/>
      <c r="H1184" s="13"/>
      <c r="I1184" s="13"/>
      <c r="J1184" s="29"/>
      <c r="K1184" s="29"/>
      <c r="L1184" s="29"/>
      <c r="M1184" s="13"/>
      <c r="N1184" s="17"/>
      <c r="O1184" s="17"/>
      <c r="P1184" s="17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4"/>
      <c r="AF1184" s="14"/>
    </row>
    <row r="1185" spans="2:32" s="11" customFormat="1" ht="13.5" hidden="1" customHeight="1">
      <c r="B1185" s="9"/>
      <c r="C1185" s="3"/>
      <c r="D1185" s="9"/>
      <c r="E1185" s="9"/>
      <c r="F1185" s="9" t="s">
        <v>85</v>
      </c>
      <c r="G1185" s="9" t="s">
        <v>125</v>
      </c>
      <c r="H1185" s="9"/>
      <c r="I1185" s="9"/>
      <c r="J1185" s="28"/>
      <c r="K1185" s="28"/>
      <c r="L1185" s="28"/>
      <c r="M1185" s="9"/>
      <c r="N1185" s="16"/>
      <c r="O1185" s="16"/>
      <c r="P1185" s="16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10"/>
      <c r="AF1185" s="10"/>
    </row>
    <row r="1186" spans="2:32" ht="13.5" hidden="1" customHeight="1">
      <c r="B1186" s="13"/>
      <c r="C1186" s="2"/>
      <c r="D1186" s="13"/>
      <c r="E1186" s="13"/>
      <c r="F1186" s="13"/>
      <c r="G1186" s="13"/>
      <c r="H1186" s="13"/>
      <c r="I1186" s="13"/>
      <c r="J1186" s="29"/>
      <c r="K1186" s="29"/>
      <c r="L1186" s="6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4"/>
      <c r="AF1186" s="14"/>
    </row>
    <row r="1187" spans="2:32" ht="13.5" hidden="1" customHeight="1">
      <c r="B1187" s="13"/>
      <c r="C1187" s="2"/>
      <c r="D1187" s="13"/>
      <c r="E1187" s="13"/>
      <c r="F1187" s="13"/>
      <c r="G1187" s="13"/>
      <c r="H1187" s="13"/>
      <c r="I1187" s="13"/>
      <c r="J1187" s="113" t="s">
        <v>126</v>
      </c>
      <c r="K1187" s="113"/>
      <c r="L1187" s="113"/>
      <c r="M1187" s="173" t="s">
        <v>1</v>
      </c>
      <c r="N1187" s="146" t="s">
        <v>74</v>
      </c>
      <c r="O1187" s="146"/>
      <c r="P1187" s="146"/>
      <c r="Q1187" s="146"/>
      <c r="R1187" s="146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4"/>
      <c r="AF1187" s="14"/>
    </row>
    <row r="1188" spans="2:32" ht="13.5" hidden="1" customHeight="1">
      <c r="B1188" s="13"/>
      <c r="C1188" s="2"/>
      <c r="D1188" s="13"/>
      <c r="E1188" s="13"/>
      <c r="F1188" s="13"/>
      <c r="G1188" s="13"/>
      <c r="H1188" s="13"/>
      <c r="I1188" s="13"/>
      <c r="J1188" s="113"/>
      <c r="K1188" s="113"/>
      <c r="L1188" s="113"/>
      <c r="M1188" s="113"/>
      <c r="N1188" s="125" t="s">
        <v>124</v>
      </c>
      <c r="O1188" s="125"/>
      <c r="P1188" s="125"/>
      <c r="Q1188" s="125"/>
      <c r="R1188" s="125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4"/>
      <c r="AF1188" s="14"/>
    </row>
    <row r="1189" spans="2:32" ht="13.5" hidden="1" customHeight="1">
      <c r="B1189" s="13"/>
      <c r="C1189" s="2"/>
      <c r="D1189" s="13"/>
      <c r="E1189" s="13"/>
      <c r="F1189" s="13"/>
      <c r="G1189" s="13"/>
      <c r="H1189" s="13"/>
      <c r="I1189" s="13"/>
      <c r="J1189" s="29"/>
      <c r="K1189" s="29"/>
      <c r="L1189" s="6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4"/>
      <c r="AF1189" s="14"/>
    </row>
    <row r="1190" spans="2:32" ht="13.5" hidden="1" customHeight="1">
      <c r="B1190" s="13"/>
      <c r="C1190" s="2"/>
      <c r="D1190" s="13"/>
      <c r="E1190" s="13"/>
      <c r="F1190" s="13"/>
      <c r="G1190" s="13"/>
      <c r="H1190" s="13"/>
      <c r="I1190" s="13"/>
      <c r="J1190" s="113" t="s">
        <v>126</v>
      </c>
      <c r="K1190" s="113"/>
      <c r="L1190" s="113"/>
      <c r="M1190" s="13"/>
      <c r="N1190" s="174">
        <f>$K$81</f>
        <v>0</v>
      </c>
      <c r="O1190" s="174"/>
      <c r="P1190" s="174"/>
      <c r="Q1190" s="174"/>
      <c r="R1190" s="174"/>
      <c r="S1190" s="174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4"/>
      <c r="AF1190" s="14"/>
    </row>
    <row r="1191" spans="2:32" ht="13.5" hidden="1" customHeight="1">
      <c r="B1191" s="13"/>
      <c r="C1191" s="2"/>
      <c r="D1191" s="13"/>
      <c r="E1191" s="13"/>
      <c r="F1191" s="13"/>
      <c r="G1191" s="13"/>
      <c r="H1191" s="13"/>
      <c r="I1191" s="13"/>
      <c r="J1191" s="113"/>
      <c r="K1191" s="113"/>
      <c r="L1191" s="113"/>
      <c r="M1191" s="13"/>
      <c r="N1191" s="196" t="e">
        <f>N1181</f>
        <v>#REF!</v>
      </c>
      <c r="O1191" s="196"/>
      <c r="P1191" s="196"/>
      <c r="Q1191" s="196"/>
      <c r="R1191" s="196"/>
      <c r="S1191" s="196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4"/>
      <c r="AF1191" s="14"/>
    </row>
    <row r="1192" spans="2:32" ht="13.5" hidden="1" customHeight="1">
      <c r="B1192" s="13"/>
      <c r="C1192" s="2"/>
      <c r="D1192" s="13"/>
      <c r="E1192" s="13"/>
      <c r="F1192" s="13"/>
      <c r="G1192" s="13"/>
      <c r="H1192" s="13"/>
      <c r="I1192" s="13"/>
      <c r="J1192" s="29"/>
      <c r="K1192" s="29"/>
      <c r="L1192" s="6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4"/>
      <c r="AF1192" s="14"/>
    </row>
    <row r="1193" spans="2:32" ht="13.5" hidden="1" customHeight="1">
      <c r="B1193" s="13"/>
      <c r="C1193" s="2"/>
      <c r="D1193" s="13"/>
      <c r="E1193" s="13"/>
      <c r="F1193" s="13"/>
      <c r="G1193" s="13"/>
      <c r="H1193" s="13"/>
      <c r="I1193" s="13"/>
      <c r="J1193" s="113" t="s">
        <v>126</v>
      </c>
      <c r="K1193" s="113"/>
      <c r="L1193" s="113"/>
      <c r="M1193" s="113" t="s">
        <v>1</v>
      </c>
      <c r="N1193" s="113"/>
      <c r="O1193" s="176" t="e">
        <f>N1190/N1191</f>
        <v>#REF!</v>
      </c>
      <c r="P1193" s="176"/>
      <c r="Q1193" s="176"/>
      <c r="R1193" s="176"/>
      <c r="S1193" s="13"/>
      <c r="T1193" s="113" t="s">
        <v>75</v>
      </c>
      <c r="U1193" s="1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4"/>
      <c r="AF1193" s="14"/>
    </row>
    <row r="1194" spans="2:32" ht="13.5" hidden="1" customHeight="1">
      <c r="B1194" s="13"/>
      <c r="C1194" s="2"/>
      <c r="D1194" s="13"/>
      <c r="E1194" s="13"/>
      <c r="F1194" s="13"/>
      <c r="G1194" s="13"/>
      <c r="H1194" s="13"/>
      <c r="I1194" s="13"/>
      <c r="J1194" s="113"/>
      <c r="K1194" s="113"/>
      <c r="L1194" s="113"/>
      <c r="M1194" s="113"/>
      <c r="N1194" s="113"/>
      <c r="O1194" s="176"/>
      <c r="P1194" s="176"/>
      <c r="Q1194" s="176"/>
      <c r="R1194" s="176"/>
      <c r="S1194" s="13"/>
      <c r="T1194" s="113"/>
      <c r="U1194" s="1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4"/>
      <c r="AF1194" s="14"/>
    </row>
    <row r="1195" spans="2:32" ht="13.5" hidden="1" customHeight="1">
      <c r="B1195" s="13"/>
      <c r="C1195" s="2"/>
      <c r="D1195" s="13"/>
      <c r="E1195" s="13"/>
      <c r="F1195" s="13"/>
      <c r="G1195" s="13"/>
      <c r="H1195" s="13"/>
      <c r="I1195" s="13"/>
      <c r="J1195" s="29"/>
      <c r="K1195" s="29"/>
      <c r="L1195" s="6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4"/>
      <c r="AF1195" s="14"/>
    </row>
    <row r="1196" spans="2:32" ht="13.5" hidden="1" customHeight="1">
      <c r="B1196" s="13"/>
      <c r="C1196" s="2"/>
      <c r="D1196" s="13"/>
      <c r="E1196" s="13"/>
      <c r="F1196" s="13"/>
      <c r="G1196" s="13"/>
      <c r="H1196" s="13"/>
      <c r="I1196" s="13"/>
      <c r="J1196" s="29"/>
      <c r="K1196" s="29"/>
      <c r="L1196" s="6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4"/>
      <c r="AF1196" s="14"/>
    </row>
    <row r="1197" spans="2:32" ht="13.5" hidden="1" customHeight="1">
      <c r="B1197" s="13"/>
      <c r="C1197" s="2"/>
      <c r="D1197" s="13"/>
      <c r="E1197" s="13"/>
      <c r="F1197" s="13"/>
      <c r="G1197" s="13"/>
      <c r="H1197" s="13"/>
      <c r="I1197" s="13"/>
      <c r="J1197" s="29"/>
      <c r="K1197" s="29"/>
      <c r="L1197" s="6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4"/>
      <c r="AF1197" s="14"/>
    </row>
    <row r="1198" spans="2:32" ht="13.5" hidden="1" customHeight="1">
      <c r="B1198" s="13"/>
      <c r="C1198" s="2"/>
      <c r="D1198" s="13"/>
      <c r="E1198" s="13"/>
      <c r="F1198" s="13"/>
      <c r="G1198" s="13"/>
      <c r="H1198" s="13"/>
      <c r="I1198" s="13"/>
      <c r="J1198" s="29"/>
      <c r="K1198" s="29"/>
      <c r="L1198" s="6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4"/>
      <c r="AF1198" s="14"/>
    </row>
    <row r="1199" spans="2:32" ht="13.5" hidden="1" customHeight="1">
      <c r="B1199" s="13"/>
      <c r="C1199" s="2"/>
      <c r="D1199" s="13"/>
      <c r="E1199" s="13"/>
      <c r="F1199" s="13"/>
      <c r="G1199" s="13"/>
      <c r="H1199" s="13"/>
      <c r="I1199" s="13"/>
      <c r="J1199" s="29"/>
      <c r="K1199" s="29"/>
      <c r="L1199" s="6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4"/>
      <c r="AF1199" s="14"/>
    </row>
    <row r="1200" spans="2:32" ht="13.5" hidden="1" customHeight="1">
      <c r="B1200" s="21"/>
      <c r="C1200" s="34"/>
      <c r="D1200" s="21"/>
      <c r="E1200" s="21"/>
      <c r="F1200" s="21"/>
      <c r="G1200" s="21"/>
      <c r="H1200" s="21"/>
      <c r="I1200" s="21"/>
      <c r="J1200" s="35"/>
      <c r="K1200" s="35"/>
      <c r="L1200" s="22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3"/>
      <c r="AF1200" s="14"/>
    </row>
    <row r="1201" spans="2:32" ht="13.5" hidden="1" customHeight="1">
      <c r="B1201" s="13"/>
      <c r="C1201" s="2"/>
      <c r="D1201" s="13"/>
      <c r="E1201" s="13"/>
      <c r="F1201" s="13"/>
      <c r="G1201" s="13"/>
      <c r="H1201" s="13"/>
      <c r="I1201" s="13"/>
      <c r="J1201" s="29"/>
      <c r="K1201" s="29"/>
      <c r="L1201" s="6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4"/>
      <c r="AF1201" s="14"/>
    </row>
    <row r="1202" spans="2:32" ht="13.5" hidden="1" customHeight="1">
      <c r="B1202" s="13"/>
      <c r="C1202" s="2"/>
      <c r="D1202" s="13"/>
      <c r="E1202" s="13"/>
      <c r="F1202" s="13"/>
      <c r="G1202" s="13"/>
      <c r="H1202" s="13"/>
      <c r="I1202" s="13"/>
      <c r="J1202" s="29"/>
      <c r="K1202" s="29"/>
      <c r="L1202" s="6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4"/>
      <c r="AF1202" s="14"/>
    </row>
    <row r="1203" spans="2:32" ht="13.5" hidden="1" customHeight="1">
      <c r="B1203" s="13"/>
      <c r="C1203" s="2"/>
      <c r="D1203" s="13"/>
      <c r="E1203" s="13"/>
      <c r="F1203" s="13"/>
      <c r="G1203" s="13"/>
      <c r="H1203" s="13"/>
      <c r="I1203" s="13"/>
      <c r="J1203" s="29"/>
      <c r="K1203" s="29"/>
      <c r="L1203" s="6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4"/>
      <c r="AF1203" s="14"/>
    </row>
    <row r="1204" spans="2:32" s="11" customFormat="1" ht="13.5" hidden="1" customHeight="1">
      <c r="B1204" s="9"/>
      <c r="C1204" s="3"/>
      <c r="D1204" s="9"/>
      <c r="E1204" s="9"/>
      <c r="F1204" s="9" t="s">
        <v>86</v>
      </c>
      <c r="G1204" s="9" t="s">
        <v>65</v>
      </c>
      <c r="H1204" s="9"/>
      <c r="I1204" s="9"/>
      <c r="J1204" s="28"/>
      <c r="K1204" s="28"/>
      <c r="L1204" s="7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10"/>
      <c r="AF1204" s="10"/>
    </row>
    <row r="1205" spans="2:32" s="11" customFormat="1" ht="13.5" hidden="1" customHeight="1">
      <c r="B1205" s="9"/>
      <c r="C1205" s="3"/>
      <c r="D1205" s="9"/>
      <c r="E1205" s="9"/>
      <c r="F1205" s="9"/>
      <c r="G1205" s="9" t="s">
        <v>125</v>
      </c>
      <c r="H1205" s="9"/>
      <c r="I1205" s="9"/>
      <c r="J1205" s="28"/>
      <c r="K1205" s="28"/>
      <c r="L1205" s="7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10"/>
      <c r="AF1205" s="10"/>
    </row>
    <row r="1206" spans="2:32" ht="13.5" hidden="1" customHeight="1">
      <c r="B1206" s="13"/>
      <c r="C1206" s="2"/>
      <c r="D1206" s="13"/>
      <c r="E1206" s="13"/>
      <c r="F1206" s="13"/>
      <c r="G1206" s="13"/>
      <c r="H1206" s="13"/>
      <c r="I1206" s="13"/>
      <c r="J1206" s="29"/>
      <c r="K1206" s="29"/>
      <c r="L1206" s="6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4"/>
      <c r="AF1206" s="14"/>
    </row>
    <row r="1207" spans="2:32" ht="13.5" hidden="1" customHeight="1">
      <c r="B1207" s="13"/>
      <c r="C1207" s="2"/>
      <c r="D1207" s="13"/>
      <c r="E1207" s="13"/>
      <c r="F1207" s="13"/>
      <c r="G1207" s="13"/>
      <c r="H1207" s="13"/>
      <c r="I1207" s="13"/>
      <c r="J1207" s="113" t="s">
        <v>127</v>
      </c>
      <c r="K1207" s="113"/>
      <c r="L1207" s="113"/>
      <c r="M1207" s="173" t="s">
        <v>1</v>
      </c>
      <c r="N1207" s="113" t="s">
        <v>126</v>
      </c>
      <c r="O1207" s="113"/>
      <c r="P1207" s="113"/>
      <c r="Q1207" s="173" t="s">
        <v>73</v>
      </c>
      <c r="R1207" s="173"/>
      <c r="S1207" s="113">
        <v>1.25</v>
      </c>
      <c r="T1207" s="113"/>
      <c r="U1207" s="1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4"/>
      <c r="AF1207" s="14"/>
    </row>
    <row r="1208" spans="2:32" ht="13.5" hidden="1" customHeight="1">
      <c r="B1208" s="13"/>
      <c r="C1208" s="2"/>
      <c r="D1208" s="13"/>
      <c r="E1208" s="13"/>
      <c r="F1208" s="13"/>
      <c r="G1208" s="13"/>
      <c r="H1208" s="13"/>
      <c r="I1208" s="13"/>
      <c r="J1208" s="113"/>
      <c r="K1208" s="113"/>
      <c r="L1208" s="113"/>
      <c r="M1208" s="113"/>
      <c r="N1208" s="113"/>
      <c r="O1208" s="113"/>
      <c r="P1208" s="113"/>
      <c r="Q1208" s="173"/>
      <c r="R1208" s="173"/>
      <c r="S1208" s="113"/>
      <c r="T1208" s="113"/>
      <c r="U1208" s="1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4"/>
      <c r="AF1208" s="14"/>
    </row>
    <row r="1209" spans="2:32" ht="13.5" hidden="1" customHeight="1">
      <c r="B1209" s="13"/>
      <c r="C1209" s="2"/>
      <c r="D1209" s="13"/>
      <c r="E1209" s="13"/>
      <c r="F1209" s="13"/>
      <c r="G1209" s="13"/>
      <c r="H1209" s="13"/>
      <c r="I1209" s="13"/>
      <c r="J1209" s="29"/>
      <c r="K1209" s="29"/>
      <c r="L1209" s="6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4"/>
      <c r="AF1209" s="14"/>
    </row>
    <row r="1210" spans="2:32" ht="13.5" hidden="1" customHeight="1">
      <c r="B1210" s="13"/>
      <c r="C1210" s="2"/>
      <c r="D1210" s="13"/>
      <c r="E1210" s="13"/>
      <c r="F1210" s="13"/>
      <c r="G1210" s="13"/>
      <c r="H1210" s="13"/>
      <c r="I1210" s="13"/>
      <c r="J1210" s="113" t="s">
        <v>127</v>
      </c>
      <c r="K1210" s="113"/>
      <c r="L1210" s="113"/>
      <c r="M1210" s="173" t="s">
        <v>1</v>
      </c>
      <c r="N1210" s="176" t="e">
        <f>O1192+O1193</f>
        <v>#REF!</v>
      </c>
      <c r="O1210" s="176"/>
      <c r="P1210" s="176"/>
      <c r="Q1210" s="173" t="s">
        <v>73</v>
      </c>
      <c r="R1210" s="173"/>
      <c r="S1210" s="113">
        <v>1.25</v>
      </c>
      <c r="T1210" s="113"/>
      <c r="U1210" s="1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4"/>
      <c r="AF1210" s="14"/>
    </row>
    <row r="1211" spans="2:32" ht="13.5" hidden="1" customHeight="1">
      <c r="B1211" s="13"/>
      <c r="C1211" s="2"/>
      <c r="D1211" s="13"/>
      <c r="E1211" s="13"/>
      <c r="F1211" s="13"/>
      <c r="G1211" s="13"/>
      <c r="H1211" s="13"/>
      <c r="I1211" s="13"/>
      <c r="J1211" s="113"/>
      <c r="K1211" s="113"/>
      <c r="L1211" s="113"/>
      <c r="M1211" s="113"/>
      <c r="N1211" s="176"/>
      <c r="O1211" s="176"/>
      <c r="P1211" s="176"/>
      <c r="Q1211" s="173"/>
      <c r="R1211" s="173"/>
      <c r="S1211" s="113"/>
      <c r="T1211" s="113"/>
      <c r="U1211" s="1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4"/>
      <c r="AF1211" s="14"/>
    </row>
    <row r="1212" spans="2:32" ht="13.5" hidden="1" customHeight="1">
      <c r="B1212" s="13"/>
      <c r="C1212" s="2"/>
      <c r="D1212" s="13"/>
      <c r="E1212" s="13"/>
      <c r="F1212" s="13"/>
      <c r="G1212" s="13"/>
      <c r="H1212" s="13"/>
      <c r="I1212" s="13"/>
      <c r="J1212" s="29"/>
      <c r="K1212" s="29"/>
      <c r="L1212" s="6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4"/>
      <c r="AF1212" s="14"/>
    </row>
    <row r="1213" spans="2:32" ht="13.5" hidden="1" customHeight="1">
      <c r="B1213" s="13"/>
      <c r="C1213" s="2"/>
      <c r="D1213" s="13"/>
      <c r="E1213" s="13"/>
      <c r="F1213" s="13"/>
      <c r="G1213" s="13"/>
      <c r="H1213" s="13"/>
      <c r="I1213" s="13"/>
      <c r="J1213" s="113" t="s">
        <v>127</v>
      </c>
      <c r="K1213" s="113"/>
      <c r="L1213" s="113"/>
      <c r="M1213" s="173" t="s">
        <v>1</v>
      </c>
      <c r="N1213" s="13"/>
      <c r="O1213" s="176" t="e">
        <f>N1210*S1210</f>
        <v>#REF!</v>
      </c>
      <c r="P1213" s="176"/>
      <c r="Q1213" s="176"/>
      <c r="R1213" s="176"/>
      <c r="S1213" s="13"/>
      <c r="T1213" s="113" t="s">
        <v>75</v>
      </c>
      <c r="U1213" s="1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4"/>
      <c r="AF1213" s="14"/>
    </row>
    <row r="1214" spans="2:32" ht="13.5" hidden="1" customHeight="1">
      <c r="B1214" s="13"/>
      <c r="C1214" s="2"/>
      <c r="D1214" s="13"/>
      <c r="E1214" s="13"/>
      <c r="F1214" s="13"/>
      <c r="G1214" s="13"/>
      <c r="H1214" s="13"/>
      <c r="I1214" s="13"/>
      <c r="J1214" s="113"/>
      <c r="K1214" s="113"/>
      <c r="L1214" s="113"/>
      <c r="M1214" s="113"/>
      <c r="N1214" s="13"/>
      <c r="O1214" s="176"/>
      <c r="P1214" s="176"/>
      <c r="Q1214" s="176"/>
      <c r="R1214" s="176"/>
      <c r="S1214" s="13"/>
      <c r="T1214" s="113"/>
      <c r="U1214" s="1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4"/>
      <c r="AF1214" s="14"/>
    </row>
    <row r="1215" spans="2:32" ht="13.5" hidden="1" customHeight="1">
      <c r="B1215" s="13"/>
      <c r="C1215" s="2"/>
      <c r="D1215" s="13"/>
      <c r="E1215" s="13"/>
      <c r="F1215" s="13"/>
      <c r="G1215" s="13"/>
      <c r="H1215" s="13"/>
      <c r="I1215" s="13"/>
      <c r="J1215" s="29"/>
      <c r="K1215" s="29"/>
      <c r="L1215" s="6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4"/>
      <c r="AF1215" s="14"/>
    </row>
    <row r="1216" spans="2:32" ht="13.5" hidden="1" customHeight="1">
      <c r="B1216" s="13"/>
      <c r="C1216" s="2"/>
      <c r="D1216" s="13"/>
      <c r="E1216" s="13"/>
      <c r="F1216" s="13"/>
      <c r="G1216" s="13"/>
      <c r="H1216" s="13"/>
      <c r="I1216" s="13"/>
      <c r="J1216" s="29"/>
      <c r="K1216" s="29"/>
      <c r="L1216" s="6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4"/>
      <c r="AF1216" s="14"/>
    </row>
    <row r="1217" spans="2:32" ht="13.5" hidden="1" customHeight="1">
      <c r="B1217" s="13"/>
      <c r="C1217" s="2"/>
      <c r="D1217" s="13"/>
      <c r="E1217" s="13"/>
      <c r="F1217" s="13"/>
      <c r="G1217" s="13"/>
      <c r="H1217" s="13"/>
      <c r="I1217" s="13"/>
      <c r="J1217" s="29"/>
      <c r="K1217" s="29"/>
      <c r="L1217" s="6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4"/>
      <c r="AF1217" s="14"/>
    </row>
    <row r="1218" spans="2:32" s="11" customFormat="1" ht="13.5" hidden="1" customHeight="1">
      <c r="B1218" s="9"/>
      <c r="C1218" s="3"/>
      <c r="D1218" s="9"/>
      <c r="E1218" s="9" t="s">
        <v>103</v>
      </c>
      <c r="F1218" s="9"/>
      <c r="G1218" s="9"/>
      <c r="H1218" s="9"/>
      <c r="I1218" s="9"/>
      <c r="J1218" s="28"/>
      <c r="K1218" s="28"/>
      <c r="L1218" s="7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10"/>
      <c r="AF1218" s="10"/>
    </row>
    <row r="1219" spans="2:32" ht="13.5" hidden="1" customHeight="1">
      <c r="B1219" s="13"/>
      <c r="C1219" s="2"/>
      <c r="D1219" s="13"/>
      <c r="E1219" s="13"/>
      <c r="F1219" s="13"/>
      <c r="G1219" s="13"/>
      <c r="H1219" s="13"/>
      <c r="I1219" s="13"/>
      <c r="J1219" s="29"/>
      <c r="K1219" s="29"/>
      <c r="L1219" s="6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4"/>
      <c r="AF1219" s="14"/>
    </row>
    <row r="1220" spans="2:32" ht="13.5" hidden="1" customHeight="1">
      <c r="B1220" s="13"/>
      <c r="C1220" s="2"/>
      <c r="D1220" s="13"/>
      <c r="E1220" s="13"/>
      <c r="F1220" s="13"/>
      <c r="G1220" s="13"/>
      <c r="H1220" s="13"/>
      <c r="I1220" s="13"/>
      <c r="J1220" s="29"/>
      <c r="K1220" s="29"/>
      <c r="L1220" s="6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4"/>
      <c r="AF1220" s="14"/>
    </row>
    <row r="1221" spans="2:32" ht="13.5" hidden="1" customHeight="1">
      <c r="B1221" s="13"/>
      <c r="C1221" s="2"/>
      <c r="D1221" s="13"/>
      <c r="E1221" s="13"/>
      <c r="F1221" s="13"/>
      <c r="G1221" s="13"/>
      <c r="H1221" s="13"/>
      <c r="I1221" s="13"/>
      <c r="J1221" s="29"/>
      <c r="K1221" s="29"/>
      <c r="L1221" s="6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4"/>
      <c r="AF1221" s="14"/>
    </row>
    <row r="1222" spans="2:32" ht="13.5" hidden="1" customHeight="1">
      <c r="B1222" s="13"/>
      <c r="C1222" s="2"/>
      <c r="D1222" s="13"/>
      <c r="E1222" s="13"/>
      <c r="F1222" s="13"/>
      <c r="G1222" s="13"/>
      <c r="H1222" s="13"/>
      <c r="I1222" s="13"/>
      <c r="J1222" s="29"/>
      <c r="K1222" s="29"/>
      <c r="L1222" s="6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4"/>
      <c r="AF1222" s="14"/>
    </row>
    <row r="1223" spans="2:32" ht="13.5" hidden="1" customHeight="1">
      <c r="B1223" s="13"/>
      <c r="C1223" s="2"/>
      <c r="D1223" s="13"/>
      <c r="E1223" s="13"/>
      <c r="F1223" s="13"/>
      <c r="G1223" s="13"/>
      <c r="H1223" s="13"/>
      <c r="I1223" s="13"/>
      <c r="J1223" s="29"/>
      <c r="K1223" s="29"/>
      <c r="L1223" s="6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4"/>
      <c r="AF1223" s="14"/>
    </row>
    <row r="1224" spans="2:32" ht="13.5" hidden="1" customHeight="1">
      <c r="B1224" s="13"/>
      <c r="C1224" s="2"/>
      <c r="D1224" s="13"/>
      <c r="E1224" s="13"/>
      <c r="F1224" s="13"/>
      <c r="G1224" s="13"/>
      <c r="H1224" s="13"/>
      <c r="I1224" s="13"/>
      <c r="J1224" s="29"/>
      <c r="K1224" s="29"/>
      <c r="L1224" s="6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4"/>
      <c r="AF1224" s="14"/>
    </row>
    <row r="1225" spans="2:32" ht="13.5" hidden="1" customHeight="1">
      <c r="B1225" s="13"/>
      <c r="C1225" s="2"/>
      <c r="D1225" s="13"/>
      <c r="E1225" s="13"/>
      <c r="F1225" s="13"/>
      <c r="G1225" s="13"/>
      <c r="H1225" s="13"/>
      <c r="I1225" s="13"/>
      <c r="J1225" s="29"/>
      <c r="K1225" s="29"/>
      <c r="L1225" s="6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4"/>
      <c r="AF1225" s="14"/>
    </row>
    <row r="1226" spans="2:32" ht="13.5" hidden="1" customHeight="1">
      <c r="B1226" s="13"/>
      <c r="C1226" s="2"/>
      <c r="D1226" s="13"/>
      <c r="E1226" s="13"/>
      <c r="F1226" s="13"/>
      <c r="G1226" s="13"/>
      <c r="H1226" s="13"/>
      <c r="I1226" s="13"/>
      <c r="J1226" s="29"/>
      <c r="K1226" s="29"/>
      <c r="L1226" s="6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4"/>
      <c r="AF1226" s="14"/>
    </row>
    <row r="1227" spans="2:32" ht="13.5" hidden="1" customHeight="1">
      <c r="B1227" s="13"/>
      <c r="C1227" s="2"/>
      <c r="D1227" s="13"/>
      <c r="E1227" s="13"/>
      <c r="F1227" s="13"/>
      <c r="G1227" s="13"/>
      <c r="H1227" s="13"/>
      <c r="I1227" s="13"/>
      <c r="J1227" s="29"/>
      <c r="K1227" s="29"/>
      <c r="L1227" s="6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4"/>
      <c r="AF1227" s="14"/>
    </row>
    <row r="1228" spans="2:32" ht="13.5" hidden="1" customHeight="1">
      <c r="B1228" s="13"/>
      <c r="C1228" s="2"/>
      <c r="D1228" s="13"/>
      <c r="E1228" s="13"/>
      <c r="F1228" s="13"/>
      <c r="G1228" s="13"/>
      <c r="H1228" s="9"/>
      <c r="I1228" s="13"/>
      <c r="J1228" s="29"/>
      <c r="K1228" s="29"/>
      <c r="L1228" s="6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4"/>
      <c r="AF1228" s="14"/>
    </row>
    <row r="1229" spans="2:32" ht="13.5" hidden="1" customHeight="1">
      <c r="B1229" s="13"/>
      <c r="C1229" s="2"/>
      <c r="D1229" s="13"/>
      <c r="E1229" s="13"/>
      <c r="F1229" s="13"/>
      <c r="G1229" s="13"/>
      <c r="H1229" s="13"/>
      <c r="I1229" s="13"/>
      <c r="J1229" s="29"/>
      <c r="K1229" s="29"/>
      <c r="L1229" s="6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4"/>
      <c r="AF1229" s="14"/>
    </row>
    <row r="1230" spans="2:32" ht="13.5" hidden="1" customHeight="1">
      <c r="B1230" s="13"/>
      <c r="C1230" s="2"/>
      <c r="D1230" s="13"/>
      <c r="E1230" s="13"/>
      <c r="F1230" s="13"/>
      <c r="G1230" s="13"/>
      <c r="H1230" s="13"/>
      <c r="I1230" s="13"/>
      <c r="J1230" s="29"/>
      <c r="K1230" s="29"/>
      <c r="L1230" s="6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4"/>
      <c r="AF1230" s="14"/>
    </row>
    <row r="1231" spans="2:32" ht="13.5" hidden="1" customHeight="1">
      <c r="B1231" s="13"/>
      <c r="C1231" s="2"/>
      <c r="D1231" s="13"/>
      <c r="E1231" s="13"/>
      <c r="F1231" s="13"/>
      <c r="G1231" s="13"/>
      <c r="H1231" s="13"/>
      <c r="I1231" s="13"/>
      <c r="J1231" s="29"/>
      <c r="K1231" s="29"/>
      <c r="L1231" s="6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4"/>
      <c r="AF1231" s="14"/>
    </row>
    <row r="1232" spans="2:32" ht="13.5" hidden="1" customHeight="1">
      <c r="B1232" s="13"/>
      <c r="C1232" s="2"/>
      <c r="D1232" s="13"/>
      <c r="E1232" s="13"/>
      <c r="F1232" s="13"/>
      <c r="G1232" s="13"/>
      <c r="H1232" s="13"/>
      <c r="I1232" s="13"/>
      <c r="J1232" s="29"/>
      <c r="K1232" s="29"/>
      <c r="L1232" s="6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4"/>
      <c r="AF1232" s="14"/>
    </row>
    <row r="1233" spans="2:32" ht="13.5" hidden="1" customHeight="1">
      <c r="B1233" s="13"/>
      <c r="C1233" s="2"/>
      <c r="D1233" s="13"/>
      <c r="E1233" s="13"/>
      <c r="F1233" s="13"/>
      <c r="G1233" s="13"/>
      <c r="H1233" s="13"/>
      <c r="I1233" s="13"/>
      <c r="J1233" s="29"/>
      <c r="K1233" s="29"/>
      <c r="L1233" s="6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4"/>
      <c r="AF1233" s="14"/>
    </row>
    <row r="1234" spans="2:32" ht="13.5" hidden="1" customHeight="1">
      <c r="B1234" s="13"/>
      <c r="C1234" s="2"/>
      <c r="D1234" s="13"/>
      <c r="E1234" s="13"/>
      <c r="F1234" s="13"/>
      <c r="G1234" s="13"/>
      <c r="H1234" s="13"/>
      <c r="I1234" s="13"/>
      <c r="J1234" s="29"/>
      <c r="K1234" s="29"/>
      <c r="L1234" s="6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4"/>
      <c r="AF1234" s="14"/>
    </row>
    <row r="1235" spans="2:32" ht="13.5" hidden="1" customHeight="1">
      <c r="B1235" s="13"/>
      <c r="C1235" s="2"/>
      <c r="D1235" s="13"/>
      <c r="E1235" s="13"/>
      <c r="F1235" s="13"/>
      <c r="G1235" s="13"/>
      <c r="H1235" s="13"/>
      <c r="I1235" s="13"/>
      <c r="J1235" s="29"/>
      <c r="K1235" s="29"/>
      <c r="L1235" s="6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4"/>
      <c r="AF1235" s="14"/>
    </row>
    <row r="1236" spans="2:32" ht="13.5" hidden="1" customHeight="1">
      <c r="B1236" s="13"/>
      <c r="C1236" s="2"/>
      <c r="D1236" s="13"/>
      <c r="E1236" s="13"/>
      <c r="F1236" s="13"/>
      <c r="G1236" s="13"/>
      <c r="H1236" s="13"/>
      <c r="I1236" s="13"/>
      <c r="J1236" s="29"/>
      <c r="K1236" s="29"/>
      <c r="L1236" s="6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4"/>
      <c r="AF1236" s="14"/>
    </row>
    <row r="1237" spans="2:32" ht="13.5" hidden="1" customHeight="1">
      <c r="B1237" s="13"/>
      <c r="C1237" s="2"/>
      <c r="D1237" s="13"/>
      <c r="E1237" s="13"/>
      <c r="F1237" s="13"/>
      <c r="G1237" s="13"/>
      <c r="H1237" s="13"/>
      <c r="I1237" s="13"/>
      <c r="J1237" s="29"/>
      <c r="K1237" s="29"/>
      <c r="L1237" s="6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4"/>
      <c r="AF1237" s="14"/>
    </row>
    <row r="1238" spans="2:32" ht="13.5" hidden="1" customHeight="1">
      <c r="B1238" s="13"/>
      <c r="C1238" s="2"/>
      <c r="D1238" s="13"/>
      <c r="E1238" s="13"/>
      <c r="F1238" s="13"/>
      <c r="G1238" s="13"/>
      <c r="H1238" s="13"/>
      <c r="I1238" s="13"/>
      <c r="J1238" s="29"/>
      <c r="K1238" s="29"/>
      <c r="L1238" s="6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4"/>
      <c r="AF1238" s="14"/>
    </row>
    <row r="1239" spans="2:32" ht="13.5" hidden="1" customHeight="1">
      <c r="B1239" s="13"/>
      <c r="C1239" s="2"/>
      <c r="D1239" s="13"/>
      <c r="E1239" s="13"/>
      <c r="F1239" s="13"/>
      <c r="G1239" s="13"/>
      <c r="H1239" s="13"/>
      <c r="I1239" s="13"/>
      <c r="J1239" s="29"/>
      <c r="K1239" s="29"/>
      <c r="L1239" s="6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4"/>
      <c r="AF1239" s="14"/>
    </row>
    <row r="1240" spans="2:32" ht="13.5" hidden="1" customHeight="1">
      <c r="B1240" s="13"/>
      <c r="C1240" s="2"/>
      <c r="D1240" s="13"/>
      <c r="E1240" s="13"/>
      <c r="F1240" s="13"/>
      <c r="G1240" s="13"/>
      <c r="H1240" s="13"/>
      <c r="I1240" s="13"/>
      <c r="J1240" s="29"/>
      <c r="K1240" s="29"/>
      <c r="L1240" s="6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4"/>
      <c r="AF1240" s="14"/>
    </row>
    <row r="1241" spans="2:32" ht="13.5" hidden="1" customHeight="1">
      <c r="B1241" s="13"/>
      <c r="C1241" s="2"/>
      <c r="D1241" s="13"/>
      <c r="E1241" s="13"/>
      <c r="F1241" s="13"/>
      <c r="G1241" s="13"/>
      <c r="H1241" s="13"/>
      <c r="I1241" s="13"/>
      <c r="J1241" s="29"/>
      <c r="K1241" s="29"/>
      <c r="L1241" s="6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4"/>
      <c r="AF1241" s="14"/>
    </row>
    <row r="1242" spans="2:32" ht="13.5" hidden="1" customHeight="1">
      <c r="B1242" s="13"/>
      <c r="C1242" s="2"/>
      <c r="D1242" s="13"/>
      <c r="E1242" s="13"/>
      <c r="F1242" s="13"/>
      <c r="G1242" s="13"/>
      <c r="H1242" s="13"/>
      <c r="I1242" s="13"/>
      <c r="J1242" s="29"/>
      <c r="K1242" s="29"/>
      <c r="L1242" s="6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4"/>
      <c r="AF1242" s="14"/>
    </row>
    <row r="1243" spans="2:32" ht="13.5" hidden="1" customHeight="1">
      <c r="B1243" s="13"/>
      <c r="C1243" s="2"/>
      <c r="D1243" s="13"/>
      <c r="E1243" s="13"/>
      <c r="F1243" s="13"/>
      <c r="G1243" s="13"/>
      <c r="H1243" s="13"/>
      <c r="I1243" s="13"/>
      <c r="J1243" s="29"/>
      <c r="K1243" s="29"/>
      <c r="L1243" s="6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4"/>
      <c r="AF1243" s="14"/>
    </row>
    <row r="1244" spans="2:32" ht="13.5" hidden="1" customHeight="1">
      <c r="B1244" s="13"/>
      <c r="C1244" s="2"/>
      <c r="D1244" s="13"/>
      <c r="E1244" s="13"/>
      <c r="F1244" s="13"/>
      <c r="G1244" s="13"/>
      <c r="H1244" s="13"/>
      <c r="I1244" s="13"/>
      <c r="J1244" s="29"/>
      <c r="K1244" s="29"/>
      <c r="L1244" s="6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4"/>
      <c r="AF1244" s="14"/>
    </row>
    <row r="1245" spans="2:32" ht="13.5" hidden="1" customHeight="1">
      <c r="B1245" s="13"/>
      <c r="C1245" s="2"/>
      <c r="D1245" s="13"/>
      <c r="E1245" s="13"/>
      <c r="F1245" s="13"/>
      <c r="G1245" s="13"/>
      <c r="H1245" s="13"/>
      <c r="I1245" s="13"/>
      <c r="J1245" s="29"/>
      <c r="K1245" s="29"/>
      <c r="L1245" s="6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4"/>
      <c r="AF1245" s="14"/>
    </row>
    <row r="1246" spans="2:32" ht="13.5" hidden="1" customHeight="1">
      <c r="B1246" s="13"/>
      <c r="C1246" s="2"/>
      <c r="D1246" s="13"/>
      <c r="E1246" s="13"/>
      <c r="F1246" s="13"/>
      <c r="G1246" s="13"/>
      <c r="H1246" s="13"/>
      <c r="I1246" s="13"/>
      <c r="J1246" s="29"/>
      <c r="K1246" s="29"/>
      <c r="L1246" s="6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4"/>
      <c r="AF1246" s="14"/>
    </row>
    <row r="1247" spans="2:32" ht="13.5" hidden="1" customHeight="1">
      <c r="B1247" s="13"/>
      <c r="C1247" s="2"/>
      <c r="D1247" s="13"/>
      <c r="E1247" s="13"/>
      <c r="F1247" s="13"/>
      <c r="G1247" s="13"/>
      <c r="H1247" s="13"/>
      <c r="I1247" s="13"/>
      <c r="J1247" s="29"/>
      <c r="K1247" s="29"/>
      <c r="L1247" s="6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4"/>
      <c r="AF1247" s="14"/>
    </row>
    <row r="1248" spans="2:32" ht="13.5" hidden="1" customHeight="1">
      <c r="B1248" s="21"/>
      <c r="C1248" s="34"/>
      <c r="D1248" s="21"/>
      <c r="E1248" s="21"/>
      <c r="F1248" s="21"/>
      <c r="G1248" s="21"/>
      <c r="H1248" s="21"/>
      <c r="I1248" s="21"/>
      <c r="J1248" s="35"/>
      <c r="K1248" s="35"/>
      <c r="L1248" s="22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3"/>
      <c r="AF1248" s="14"/>
    </row>
    <row r="1249" spans="2:32" ht="13.5" hidden="1" customHeight="1"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4"/>
      <c r="AF1249" s="14"/>
    </row>
    <row r="1250" spans="2:32" s="11" customFormat="1" ht="13.5" hidden="1" customHeight="1">
      <c r="B1250" s="9"/>
      <c r="C1250" s="3"/>
      <c r="D1250" s="9"/>
      <c r="E1250" s="9" t="s">
        <v>87</v>
      </c>
      <c r="F1250" s="9"/>
      <c r="G1250" s="9"/>
      <c r="H1250" s="9"/>
      <c r="I1250" s="9"/>
      <c r="J1250" s="28"/>
      <c r="K1250" s="28"/>
      <c r="L1250" s="28"/>
      <c r="M1250" s="9"/>
      <c r="N1250" s="16"/>
      <c r="O1250" s="16"/>
      <c r="P1250" s="16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10"/>
      <c r="AF1250" s="10"/>
    </row>
    <row r="1251" spans="2:32" ht="13.5" hidden="1" customHeight="1">
      <c r="B1251" s="13"/>
      <c r="C1251" s="2"/>
      <c r="D1251" s="13"/>
      <c r="E1251" s="13"/>
      <c r="F1251" s="13"/>
      <c r="G1251" s="13"/>
      <c r="H1251" s="13"/>
      <c r="I1251" s="13"/>
      <c r="J1251" s="29"/>
      <c r="K1251" s="29"/>
      <c r="L1251" s="29"/>
      <c r="M1251" s="13"/>
      <c r="N1251" s="17"/>
      <c r="O1251" s="17"/>
      <c r="P1251" s="17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4"/>
      <c r="AF1251" s="14"/>
    </row>
    <row r="1252" spans="2:32" ht="13.5" hidden="1" customHeight="1">
      <c r="B1252" s="13"/>
      <c r="C1252" s="2"/>
      <c r="D1252" s="13"/>
      <c r="E1252" s="13"/>
      <c r="F1252" s="13"/>
      <c r="G1252" s="13"/>
      <c r="H1252" s="13"/>
      <c r="I1252" s="13" t="s">
        <v>64</v>
      </c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4"/>
      <c r="AF1252" s="14"/>
    </row>
    <row r="1253" spans="2:32" ht="13.5" hidden="1" customHeight="1">
      <c r="B1253" s="13"/>
      <c r="C1253" s="2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4"/>
      <c r="AF1253" s="14"/>
    </row>
    <row r="1254" spans="2:32" ht="13.5" hidden="1" customHeight="1">
      <c r="B1254" s="13"/>
      <c r="C1254" s="2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4"/>
      <c r="AF1254" s="14"/>
    </row>
    <row r="1255" spans="2:32" ht="13.5" hidden="1" customHeight="1">
      <c r="B1255" s="13"/>
      <c r="C1255" s="2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4"/>
      <c r="AF1255" s="14"/>
    </row>
    <row r="1256" spans="2:32" ht="13.5" hidden="1" customHeight="1">
      <c r="B1256" s="13"/>
      <c r="C1256" s="2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 t="s">
        <v>88</v>
      </c>
      <c r="N1256" s="30" t="s">
        <v>1</v>
      </c>
      <c r="O1256" s="177" t="e">
        <f>#REF!</f>
        <v>#REF!</v>
      </c>
      <c r="P1256" s="177"/>
      <c r="Q1256" s="177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4"/>
      <c r="AF1256" s="14"/>
    </row>
    <row r="1257" spans="2:32" ht="13.5" hidden="1" customHeight="1">
      <c r="B1257" s="13"/>
      <c r="C1257" s="2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30"/>
      <c r="O1257" s="125"/>
      <c r="P1257" s="125"/>
      <c r="Q1257" s="125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4"/>
      <c r="AF1257" s="14"/>
    </row>
    <row r="1258" spans="2:32" ht="13.5" hidden="1" customHeight="1">
      <c r="B1258" s="13"/>
      <c r="C1258" s="2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30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4"/>
      <c r="AF1258" s="14"/>
    </row>
    <row r="1259" spans="2:32" ht="13.5" hidden="1" customHeight="1">
      <c r="B1259" s="13"/>
      <c r="C1259" s="2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 t="s">
        <v>89</v>
      </c>
      <c r="N1259" s="30" t="s">
        <v>1</v>
      </c>
      <c r="O1259" s="13" t="s">
        <v>90</v>
      </c>
      <c r="P1259" s="13"/>
      <c r="Q1259" s="13"/>
      <c r="R1259" s="13"/>
      <c r="S1259" s="13"/>
      <c r="T1259" s="13"/>
      <c r="U1259" s="13"/>
      <c r="V1259" s="177" t="e">
        <f>#REF!</f>
        <v>#REF!</v>
      </c>
      <c r="W1259" s="177"/>
      <c r="X1259" s="13"/>
      <c r="Y1259" s="13"/>
      <c r="Z1259" s="13"/>
      <c r="AA1259" s="13"/>
      <c r="AB1259" s="13"/>
      <c r="AC1259" s="13"/>
      <c r="AD1259" s="13"/>
      <c r="AE1259" s="14"/>
      <c r="AF1259" s="14"/>
    </row>
    <row r="1260" spans="2:32" ht="13.5" hidden="1" customHeight="1">
      <c r="B1260" s="13"/>
      <c r="C1260" s="2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4"/>
      <c r="AF1260" s="14"/>
    </row>
    <row r="1261" spans="2:32" ht="13.5" hidden="1" customHeight="1">
      <c r="B1261" s="13"/>
      <c r="C1261" s="2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 t="s">
        <v>94</v>
      </c>
      <c r="N1261" s="30" t="s">
        <v>1</v>
      </c>
      <c r="O1261" s="177" t="e">
        <f>#REF!</f>
        <v>#REF!</v>
      </c>
      <c r="P1261" s="177"/>
      <c r="Q1261" s="177"/>
      <c r="R1261" s="13"/>
      <c r="S1261" s="13"/>
      <c r="T1261" s="13"/>
      <c r="U1261" s="13"/>
      <c r="V1261" s="125"/>
      <c r="W1261" s="125"/>
      <c r="X1261" s="13"/>
      <c r="Y1261" s="13"/>
      <c r="Z1261" s="13"/>
      <c r="AA1261" s="13"/>
      <c r="AB1261" s="13"/>
      <c r="AC1261" s="13"/>
      <c r="AD1261" s="13"/>
      <c r="AE1261" s="14"/>
      <c r="AF1261" s="14"/>
    </row>
    <row r="1262" spans="2:32" ht="13.5" hidden="1" customHeight="1">
      <c r="B1262" s="13"/>
      <c r="C1262" s="2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4"/>
      <c r="AF1262" s="14"/>
    </row>
    <row r="1263" spans="2:32" ht="13.5" hidden="1" customHeight="1">
      <c r="B1263" s="13"/>
      <c r="C1263" s="2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4"/>
      <c r="AF1263" s="14"/>
    </row>
    <row r="1264" spans="2:32" ht="13.5" hidden="1" customHeight="1">
      <c r="B1264" s="13"/>
      <c r="C1264" s="2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 t="s">
        <v>66</v>
      </c>
      <c r="N1264" s="13"/>
      <c r="O1264" s="40" t="s">
        <v>1</v>
      </c>
      <c r="P1264" s="177" t="e">
        <f>#REF!</f>
        <v>#REF!</v>
      </c>
      <c r="Q1264" s="177"/>
      <c r="R1264" s="177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4"/>
      <c r="AF1264" s="14"/>
    </row>
    <row r="1265" spans="2:32" ht="13.5" hidden="1" customHeight="1">
      <c r="B1265" s="13"/>
      <c r="C1265" s="2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4"/>
      <c r="AF1265" s="14"/>
    </row>
    <row r="1266" spans="2:32" ht="13.5" hidden="1" customHeight="1">
      <c r="B1266" s="13"/>
      <c r="C1266" s="2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 t="s">
        <v>9</v>
      </c>
      <c r="N1266" s="13"/>
      <c r="O1266" s="40" t="s">
        <v>1</v>
      </c>
      <c r="P1266" s="177" t="e">
        <f>$N$766</f>
        <v>#REF!</v>
      </c>
      <c r="Q1266" s="177"/>
      <c r="R1266" s="177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4"/>
      <c r="AF1266" s="14"/>
    </row>
    <row r="1267" spans="2:32" ht="13.5" hidden="1" customHeight="1">
      <c r="B1267" s="13"/>
      <c r="C1267" s="2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4"/>
      <c r="AF1267" s="14"/>
    </row>
    <row r="1268" spans="2:32" ht="13.5" hidden="1" customHeight="1">
      <c r="B1268" s="13"/>
      <c r="C1268" s="2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4"/>
      <c r="AF1268" s="14"/>
    </row>
    <row r="1269" spans="2:32" ht="13.5" hidden="1" customHeight="1">
      <c r="B1269" s="13"/>
      <c r="C1269" s="2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 t="s">
        <v>129</v>
      </c>
      <c r="N1269" s="30"/>
      <c r="O1269" s="40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4"/>
      <c r="AF1269" s="14"/>
    </row>
    <row r="1270" spans="2:32" ht="13.5" hidden="1" customHeight="1">
      <c r="B1270" s="13"/>
      <c r="C1270" s="2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4"/>
      <c r="AF1270" s="14"/>
    </row>
    <row r="1271" spans="2:32" ht="13.5" hidden="1" customHeight="1">
      <c r="B1271" s="13"/>
      <c r="C1271" s="2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 t="s">
        <v>130</v>
      </c>
      <c r="N1271" s="13"/>
      <c r="O1271" s="13" t="s">
        <v>131</v>
      </c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4"/>
      <c r="AF1271" s="14"/>
    </row>
    <row r="1272" spans="2:32" ht="13.5" hidden="1" customHeight="1">
      <c r="B1272" s="13"/>
      <c r="C1272" s="2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4"/>
      <c r="AF1272" s="14"/>
    </row>
    <row r="1273" spans="2:32" s="11" customFormat="1" ht="13.5" hidden="1" customHeight="1">
      <c r="B1273" s="9"/>
      <c r="C1273" s="9"/>
      <c r="D1273" s="9" t="s">
        <v>122</v>
      </c>
      <c r="E1273" s="9"/>
      <c r="F1273" s="9"/>
      <c r="G1273" s="9"/>
      <c r="H1273" s="9"/>
      <c r="I1273" s="9"/>
      <c r="J1273" s="28"/>
      <c r="K1273" s="28"/>
      <c r="L1273" s="28"/>
      <c r="M1273" s="9"/>
      <c r="N1273" s="16"/>
      <c r="O1273" s="16"/>
      <c r="P1273" s="16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10"/>
      <c r="AF1273" s="10"/>
    </row>
    <row r="1274" spans="2:32" s="11" customFormat="1" ht="13.5" hidden="1" customHeight="1">
      <c r="B1274" s="9"/>
      <c r="C1274" s="3"/>
      <c r="D1274" s="9" t="s">
        <v>76</v>
      </c>
      <c r="E1274" s="9"/>
      <c r="F1274" s="9"/>
      <c r="G1274" s="9"/>
      <c r="H1274" s="185">
        <v>2</v>
      </c>
      <c r="I1274" s="185"/>
      <c r="J1274" s="9" t="s">
        <v>152</v>
      </c>
      <c r="K1274" s="28"/>
      <c r="L1274" s="28"/>
      <c r="M1274" s="9"/>
      <c r="N1274" s="16"/>
      <c r="O1274" s="16"/>
      <c r="P1274" s="16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10"/>
      <c r="AF1274" s="10"/>
    </row>
    <row r="1275" spans="2:32" s="11" customFormat="1" ht="13.5" hidden="1" customHeight="1">
      <c r="B1275" s="9"/>
      <c r="C1275" s="3"/>
      <c r="D1275" s="9" t="s">
        <v>158</v>
      </c>
      <c r="E1275" s="9"/>
      <c r="F1275" s="9"/>
      <c r="G1275" s="9"/>
      <c r="H1275" s="9"/>
      <c r="I1275" s="9"/>
      <c r="J1275" s="28"/>
      <c r="K1275" s="32" t="s">
        <v>1</v>
      </c>
      <c r="L1275" s="204">
        <v>15</v>
      </c>
      <c r="M1275" s="204"/>
      <c r="N1275" s="204"/>
      <c r="O1275" s="33" t="s">
        <v>77</v>
      </c>
      <c r="P1275" s="16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10"/>
      <c r="AF1275" s="10"/>
    </row>
    <row r="1276" spans="2:32" ht="13.5" hidden="1" customHeight="1">
      <c r="B1276" s="13"/>
      <c r="C1276" s="2"/>
      <c r="D1276" s="13"/>
      <c r="E1276" s="13"/>
      <c r="F1276" s="13"/>
      <c r="G1276" s="13"/>
      <c r="H1276" s="13"/>
      <c r="I1276" s="13"/>
      <c r="J1276" s="29"/>
      <c r="K1276" s="29"/>
      <c r="L1276" s="29"/>
      <c r="M1276" s="13"/>
      <c r="N1276" s="17"/>
      <c r="O1276" s="17"/>
      <c r="P1276" s="17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4"/>
      <c r="AF1276" s="14"/>
    </row>
    <row r="1277" spans="2:32" ht="13.5" hidden="1" customHeight="1">
      <c r="B1277" s="13"/>
      <c r="C1277" s="2"/>
      <c r="D1277" s="13"/>
      <c r="E1277" s="13"/>
      <c r="F1277" s="13"/>
      <c r="G1277" s="13"/>
      <c r="H1277" s="13"/>
      <c r="I1277" s="13"/>
      <c r="J1277" s="29"/>
      <c r="K1277" s="29"/>
      <c r="L1277" s="6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4"/>
      <c r="AF1277" s="14"/>
    </row>
    <row r="1278" spans="2:32" ht="13.5" hidden="1" customHeight="1">
      <c r="B1278" s="13"/>
      <c r="C1278" s="2"/>
      <c r="D1278" s="13"/>
      <c r="E1278" s="13"/>
      <c r="F1278" s="113" t="s">
        <v>163</v>
      </c>
      <c r="G1278" s="113"/>
      <c r="H1278" s="113"/>
      <c r="I1278" s="113"/>
      <c r="J1278" s="113"/>
      <c r="K1278" s="113"/>
      <c r="L1278" s="113"/>
      <c r="M1278" s="173" t="s">
        <v>1</v>
      </c>
      <c r="N1278" s="146" t="s">
        <v>159</v>
      </c>
      <c r="O1278" s="146"/>
      <c r="P1278" s="146"/>
      <c r="Q1278" s="146"/>
      <c r="R1278" s="146"/>
      <c r="S1278" s="146"/>
      <c r="T1278" s="146"/>
      <c r="U1278" s="146"/>
      <c r="V1278" s="113" t="s">
        <v>162</v>
      </c>
      <c r="W1278" s="113"/>
      <c r="X1278" s="113"/>
      <c r="Y1278" s="113"/>
      <c r="Z1278" s="113"/>
      <c r="AA1278" s="113"/>
      <c r="AB1278" s="113"/>
      <c r="AC1278" s="13"/>
      <c r="AD1278" s="13"/>
      <c r="AE1278" s="14"/>
      <c r="AF1278" s="14"/>
    </row>
    <row r="1279" spans="2:32" ht="13.5" hidden="1" customHeight="1">
      <c r="B1279" s="13"/>
      <c r="C1279" s="2"/>
      <c r="D1279" s="13"/>
      <c r="E1279" s="13"/>
      <c r="F1279" s="113"/>
      <c r="G1279" s="113"/>
      <c r="H1279" s="113"/>
      <c r="I1279" s="113"/>
      <c r="J1279" s="113"/>
      <c r="K1279" s="113"/>
      <c r="L1279" s="113"/>
      <c r="M1279" s="113"/>
      <c r="N1279" s="126" t="s">
        <v>160</v>
      </c>
      <c r="O1279" s="126"/>
      <c r="P1279" s="126"/>
      <c r="Q1279" s="126"/>
      <c r="R1279" s="126"/>
      <c r="S1279" s="126"/>
      <c r="T1279" s="126"/>
      <c r="U1279" s="126"/>
      <c r="V1279" s="113"/>
      <c r="W1279" s="113"/>
      <c r="X1279" s="113"/>
      <c r="Y1279" s="113"/>
      <c r="Z1279" s="113"/>
      <c r="AA1279" s="113"/>
      <c r="AB1279" s="113"/>
      <c r="AC1279" s="13"/>
      <c r="AD1279" s="13"/>
      <c r="AE1279" s="14"/>
      <c r="AF1279" s="14"/>
    </row>
    <row r="1280" spans="2:32" ht="13.5" hidden="1" customHeight="1">
      <c r="B1280" s="13"/>
      <c r="C1280" s="2"/>
      <c r="D1280" s="13"/>
      <c r="E1280" s="13"/>
      <c r="F1280" s="13"/>
      <c r="G1280" s="13"/>
      <c r="H1280" s="13"/>
      <c r="I1280" s="13"/>
      <c r="J1280" s="29"/>
      <c r="K1280" s="29"/>
      <c r="L1280" s="6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4"/>
      <c r="AF1280" s="14"/>
    </row>
    <row r="1281" spans="2:32" ht="13.5" hidden="1" customHeight="1">
      <c r="B1281" s="13"/>
      <c r="C1281" s="2"/>
      <c r="D1281" s="13"/>
      <c r="E1281" s="13"/>
      <c r="F1281" s="113" t="s">
        <v>163</v>
      </c>
      <c r="G1281" s="113"/>
      <c r="H1281" s="113"/>
      <c r="I1281" s="113"/>
      <c r="J1281" s="113"/>
      <c r="K1281" s="113"/>
      <c r="L1281" s="113"/>
      <c r="M1281" s="173" t="s">
        <v>1</v>
      </c>
      <c r="N1281" s="174" t="e">
        <f>#REF!</f>
        <v>#REF!</v>
      </c>
      <c r="O1281" s="174"/>
      <c r="P1281" s="174"/>
      <c r="Q1281" s="174"/>
      <c r="R1281" s="174"/>
      <c r="S1281" s="174"/>
      <c r="T1281" s="174"/>
      <c r="U1281" s="174"/>
      <c r="V1281" s="176">
        <f>L1275/1000</f>
        <v>1.4999999999999999E-2</v>
      </c>
      <c r="W1281" s="176"/>
      <c r="X1281" s="176"/>
      <c r="Y1281" s="13"/>
      <c r="Z1281" s="13"/>
      <c r="AA1281" s="13"/>
      <c r="AB1281" s="13"/>
      <c r="AC1281" s="13"/>
      <c r="AD1281" s="13"/>
      <c r="AE1281" s="14"/>
      <c r="AF1281" s="14"/>
    </row>
    <row r="1282" spans="2:32" ht="13.5" hidden="1" customHeight="1">
      <c r="B1282" s="13"/>
      <c r="C1282" s="2"/>
      <c r="D1282" s="13"/>
      <c r="E1282" s="13"/>
      <c r="F1282" s="113"/>
      <c r="G1282" s="113"/>
      <c r="H1282" s="113"/>
      <c r="I1282" s="113"/>
      <c r="J1282" s="113"/>
      <c r="K1282" s="113"/>
      <c r="L1282" s="113"/>
      <c r="M1282" s="113"/>
      <c r="N1282" s="196">
        <f>H1274</f>
        <v>2</v>
      </c>
      <c r="O1282" s="196"/>
      <c r="P1282" s="196"/>
      <c r="Q1282" s="196"/>
      <c r="R1282" s="196"/>
      <c r="S1282" s="196"/>
      <c r="T1282" s="196"/>
      <c r="U1282" s="196"/>
      <c r="V1282" s="176"/>
      <c r="W1282" s="176"/>
      <c r="X1282" s="176"/>
      <c r="Y1282" s="13"/>
      <c r="Z1282" s="13"/>
      <c r="AA1282" s="13"/>
      <c r="AB1282" s="13"/>
      <c r="AC1282" s="13"/>
      <c r="AD1282" s="13"/>
      <c r="AE1282" s="14"/>
      <c r="AF1282" s="14"/>
    </row>
    <row r="1283" spans="2:32" ht="13.5" hidden="1" customHeight="1">
      <c r="B1283" s="13"/>
      <c r="C1283" s="2"/>
      <c r="D1283" s="13"/>
      <c r="E1283" s="13"/>
      <c r="F1283" s="13"/>
      <c r="G1283" s="13"/>
      <c r="H1283" s="13"/>
      <c r="I1283" s="13"/>
      <c r="J1283" s="29"/>
      <c r="K1283" s="29"/>
      <c r="L1283" s="6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4"/>
      <c r="AF1283" s="14"/>
    </row>
    <row r="1284" spans="2:32" ht="13.5" hidden="1" customHeight="1">
      <c r="B1284" s="13"/>
      <c r="C1284" s="2"/>
      <c r="D1284" s="13"/>
      <c r="E1284" s="13"/>
      <c r="F1284" s="113" t="s">
        <v>163</v>
      </c>
      <c r="G1284" s="113"/>
      <c r="H1284" s="113"/>
      <c r="I1284" s="113"/>
      <c r="J1284" s="113"/>
      <c r="K1284" s="113"/>
      <c r="L1284" s="113"/>
      <c r="M1284" s="173" t="s">
        <v>1</v>
      </c>
      <c r="N1284" s="176" t="e">
        <f>(N1281/N1282)*V1281</f>
        <v>#REF!</v>
      </c>
      <c r="O1284" s="176"/>
      <c r="P1284" s="176"/>
      <c r="Q1284" s="13"/>
      <c r="R1284" s="113" t="s">
        <v>78</v>
      </c>
      <c r="S1284" s="113"/>
      <c r="T1284" s="1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4"/>
      <c r="AF1284" s="14"/>
    </row>
    <row r="1285" spans="2:32" ht="13.5" hidden="1" customHeight="1">
      <c r="B1285" s="13"/>
      <c r="C1285" s="2"/>
      <c r="D1285" s="13"/>
      <c r="E1285" s="13"/>
      <c r="F1285" s="113"/>
      <c r="G1285" s="113"/>
      <c r="H1285" s="113"/>
      <c r="I1285" s="113"/>
      <c r="J1285" s="113"/>
      <c r="K1285" s="113"/>
      <c r="L1285" s="113"/>
      <c r="M1285" s="113"/>
      <c r="N1285" s="176"/>
      <c r="O1285" s="176"/>
      <c r="P1285" s="176"/>
      <c r="Q1285" s="13"/>
      <c r="R1285" s="113"/>
      <c r="S1285" s="113"/>
      <c r="T1285" s="1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4"/>
      <c r="AF1285" s="14"/>
    </row>
    <row r="1286" spans="2:32" ht="13.5" hidden="1" customHeight="1">
      <c r="B1286" s="13"/>
      <c r="C1286" s="2"/>
      <c r="D1286" s="13"/>
      <c r="E1286" s="13"/>
      <c r="F1286" s="13"/>
      <c r="G1286" s="13"/>
      <c r="H1286" s="13"/>
      <c r="I1286" s="13"/>
      <c r="J1286" s="29"/>
      <c r="K1286" s="29"/>
      <c r="L1286" s="6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4"/>
      <c r="AF1286" s="14"/>
    </row>
    <row r="1287" spans="2:32" ht="13.5" hidden="1" customHeight="1">
      <c r="B1287" s="13"/>
      <c r="C1287" s="2"/>
      <c r="D1287" s="13"/>
      <c r="E1287" s="13"/>
      <c r="F1287" s="13"/>
      <c r="G1287" s="13"/>
      <c r="H1287" s="13"/>
      <c r="I1287" s="13"/>
      <c r="J1287" s="29"/>
      <c r="K1287" s="29"/>
      <c r="L1287" s="6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4"/>
      <c r="AF1287" s="14"/>
    </row>
    <row r="1288" spans="2:32" ht="13.5" hidden="1" customHeight="1">
      <c r="B1288" s="13"/>
      <c r="C1288" s="2"/>
      <c r="D1288" s="13"/>
      <c r="E1288" s="13"/>
      <c r="F1288" s="113" t="s">
        <v>164</v>
      </c>
      <c r="G1288" s="113"/>
      <c r="H1288" s="113"/>
      <c r="I1288" s="113"/>
      <c r="J1288" s="113"/>
      <c r="K1288" s="113"/>
      <c r="L1288" s="113"/>
      <c r="M1288" s="173" t="s">
        <v>1</v>
      </c>
      <c r="N1288" s="146" t="s">
        <v>161</v>
      </c>
      <c r="O1288" s="146"/>
      <c r="P1288" s="146"/>
      <c r="Q1288" s="146"/>
      <c r="R1288" s="146"/>
      <c r="S1288" s="146"/>
      <c r="T1288" s="146"/>
      <c r="U1288" s="146"/>
      <c r="V1288" s="113" t="s">
        <v>162</v>
      </c>
      <c r="W1288" s="113"/>
      <c r="X1288" s="113"/>
      <c r="Y1288" s="113"/>
      <c r="Z1288" s="113"/>
      <c r="AA1288" s="113"/>
      <c r="AB1288" s="113"/>
      <c r="AC1288" s="13"/>
      <c r="AD1288" s="13"/>
      <c r="AE1288" s="14"/>
      <c r="AF1288" s="14"/>
    </row>
    <row r="1289" spans="2:32" ht="13.5" hidden="1" customHeight="1">
      <c r="B1289" s="13"/>
      <c r="C1289" s="2"/>
      <c r="D1289" s="13"/>
      <c r="E1289" s="13"/>
      <c r="F1289" s="113"/>
      <c r="G1289" s="113"/>
      <c r="H1289" s="113"/>
      <c r="I1289" s="113"/>
      <c r="J1289" s="113"/>
      <c r="K1289" s="113"/>
      <c r="L1289" s="113"/>
      <c r="M1289" s="113"/>
      <c r="N1289" s="126" t="s">
        <v>160</v>
      </c>
      <c r="O1289" s="126"/>
      <c r="P1289" s="126"/>
      <c r="Q1289" s="126"/>
      <c r="R1289" s="126"/>
      <c r="S1289" s="126"/>
      <c r="T1289" s="126"/>
      <c r="U1289" s="126"/>
      <c r="V1289" s="113"/>
      <c r="W1289" s="113"/>
      <c r="X1289" s="113"/>
      <c r="Y1289" s="113"/>
      <c r="Z1289" s="113"/>
      <c r="AA1289" s="113"/>
      <c r="AB1289" s="113"/>
      <c r="AC1289" s="13"/>
      <c r="AD1289" s="13"/>
      <c r="AE1289" s="14"/>
      <c r="AF1289" s="14"/>
    </row>
    <row r="1290" spans="2:32" ht="13.5" hidden="1" customHeight="1">
      <c r="B1290" s="13"/>
      <c r="C1290" s="2"/>
      <c r="D1290" s="13"/>
      <c r="E1290" s="13"/>
      <c r="F1290" s="13"/>
      <c r="G1290" s="13"/>
      <c r="H1290" s="13"/>
      <c r="I1290" s="13"/>
      <c r="J1290" s="29"/>
      <c r="K1290" s="29"/>
      <c r="L1290" s="6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4"/>
      <c r="AF1290" s="14"/>
    </row>
    <row r="1291" spans="2:32" ht="13.5" hidden="1" customHeight="1">
      <c r="B1291" s="13"/>
      <c r="C1291" s="2"/>
      <c r="D1291" s="13"/>
      <c r="E1291" s="13"/>
      <c r="F1291" s="113" t="s">
        <v>164</v>
      </c>
      <c r="G1291" s="113"/>
      <c r="H1291" s="113"/>
      <c r="I1291" s="113"/>
      <c r="J1291" s="113"/>
      <c r="K1291" s="113"/>
      <c r="L1291" s="113"/>
      <c r="M1291" s="173" t="s">
        <v>1</v>
      </c>
      <c r="N1291" s="174" t="e">
        <f>#REF!</f>
        <v>#REF!</v>
      </c>
      <c r="O1291" s="174"/>
      <c r="P1291" s="174"/>
      <c r="Q1291" s="174"/>
      <c r="R1291" s="174"/>
      <c r="S1291" s="174"/>
      <c r="T1291" s="174"/>
      <c r="U1291" s="174"/>
      <c r="V1291" s="176">
        <f>L1275/1000</f>
        <v>1.4999999999999999E-2</v>
      </c>
      <c r="W1291" s="176"/>
      <c r="X1291" s="176"/>
      <c r="Y1291" s="13"/>
      <c r="Z1291" s="13"/>
      <c r="AA1291" s="13"/>
      <c r="AB1291" s="13"/>
      <c r="AC1291" s="13"/>
      <c r="AD1291" s="13"/>
      <c r="AE1291" s="14"/>
      <c r="AF1291" s="14"/>
    </row>
    <row r="1292" spans="2:32" ht="13.5" hidden="1" customHeight="1">
      <c r="B1292" s="13"/>
      <c r="C1292" s="2"/>
      <c r="D1292" s="13"/>
      <c r="E1292" s="13"/>
      <c r="F1292" s="113"/>
      <c r="G1292" s="113"/>
      <c r="H1292" s="113"/>
      <c r="I1292" s="113"/>
      <c r="J1292" s="113"/>
      <c r="K1292" s="113"/>
      <c r="L1292" s="113"/>
      <c r="M1292" s="113"/>
      <c r="N1292" s="196">
        <f>H1274</f>
        <v>2</v>
      </c>
      <c r="O1292" s="196"/>
      <c r="P1292" s="196"/>
      <c r="Q1292" s="196"/>
      <c r="R1292" s="196"/>
      <c r="S1292" s="196"/>
      <c r="T1292" s="196"/>
      <c r="U1292" s="196"/>
      <c r="V1292" s="176"/>
      <c r="W1292" s="176"/>
      <c r="X1292" s="176"/>
      <c r="Y1292" s="13"/>
      <c r="Z1292" s="13"/>
      <c r="AA1292" s="13"/>
      <c r="AB1292" s="13"/>
      <c r="AC1292" s="13"/>
      <c r="AD1292" s="13"/>
      <c r="AE1292" s="14"/>
      <c r="AF1292" s="14"/>
    </row>
    <row r="1293" spans="2:32" ht="13.5" hidden="1" customHeight="1">
      <c r="B1293" s="13"/>
      <c r="C1293" s="2"/>
      <c r="D1293" s="13"/>
      <c r="E1293" s="13"/>
      <c r="F1293" s="13"/>
      <c r="G1293" s="13"/>
      <c r="H1293" s="13"/>
      <c r="I1293" s="13"/>
      <c r="J1293" s="29"/>
      <c r="K1293" s="29"/>
      <c r="L1293" s="6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4"/>
      <c r="AF1293" s="14"/>
    </row>
    <row r="1294" spans="2:32" ht="13.5" hidden="1" customHeight="1">
      <c r="B1294" s="13"/>
      <c r="C1294" s="2"/>
      <c r="D1294" s="13"/>
      <c r="E1294" s="13"/>
      <c r="F1294" s="113" t="s">
        <v>164</v>
      </c>
      <c r="G1294" s="113"/>
      <c r="H1294" s="113"/>
      <c r="I1294" s="113"/>
      <c r="J1294" s="113"/>
      <c r="K1294" s="113"/>
      <c r="L1294" s="113"/>
      <c r="M1294" s="173" t="s">
        <v>1</v>
      </c>
      <c r="N1294" s="176" t="e">
        <f>(N1291/N1292)*V1291</f>
        <v>#REF!</v>
      </c>
      <c r="O1294" s="176"/>
      <c r="P1294" s="176"/>
      <c r="Q1294" s="13"/>
      <c r="R1294" s="113" t="s">
        <v>78</v>
      </c>
      <c r="S1294" s="113"/>
      <c r="T1294" s="1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4"/>
      <c r="AF1294" s="14"/>
    </row>
    <row r="1295" spans="2:32" ht="13.5" hidden="1" customHeight="1">
      <c r="B1295" s="13"/>
      <c r="C1295" s="2"/>
      <c r="D1295" s="13"/>
      <c r="E1295" s="13"/>
      <c r="F1295" s="113"/>
      <c r="G1295" s="113"/>
      <c r="H1295" s="113"/>
      <c r="I1295" s="113"/>
      <c r="J1295" s="113"/>
      <c r="K1295" s="113"/>
      <c r="L1295" s="113"/>
      <c r="M1295" s="113"/>
      <c r="N1295" s="176"/>
      <c r="O1295" s="176"/>
      <c r="P1295" s="176"/>
      <c r="Q1295" s="13"/>
      <c r="R1295" s="113"/>
      <c r="S1295" s="113"/>
      <c r="T1295" s="1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4"/>
      <c r="AF1295" s="14"/>
    </row>
    <row r="1296" spans="2:32" ht="13.5" hidden="1" customHeight="1">
      <c r="B1296" s="21"/>
      <c r="C1296" s="34"/>
      <c r="D1296" s="21"/>
      <c r="E1296" s="21"/>
      <c r="F1296" s="21"/>
      <c r="G1296" s="21"/>
      <c r="H1296" s="21"/>
      <c r="I1296" s="21"/>
      <c r="J1296" s="35"/>
      <c r="K1296" s="35"/>
      <c r="L1296" s="22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3"/>
      <c r="AF1296" s="14"/>
    </row>
    <row r="1297" spans="2:32" ht="13.5" hidden="1" customHeight="1">
      <c r="B1297" s="13"/>
      <c r="C1297" s="2"/>
      <c r="D1297" s="13"/>
      <c r="E1297" s="13"/>
      <c r="F1297" s="13"/>
      <c r="G1297" s="13"/>
      <c r="H1297" s="13"/>
      <c r="I1297" s="13"/>
      <c r="J1297" s="29"/>
      <c r="K1297" s="29"/>
      <c r="L1297" s="6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4"/>
      <c r="AF1297" s="14"/>
    </row>
    <row r="1298" spans="2:32" s="11" customFormat="1" ht="13.5" hidden="1" customHeight="1">
      <c r="B1298" s="9"/>
      <c r="C1298" s="3"/>
      <c r="D1298" s="9"/>
      <c r="E1298" s="9"/>
      <c r="F1298" s="9" t="s">
        <v>21</v>
      </c>
      <c r="G1298" s="9" t="s">
        <v>79</v>
      </c>
      <c r="H1298" s="9"/>
      <c r="I1298" s="9"/>
      <c r="J1298" s="28"/>
      <c r="K1298" s="28"/>
      <c r="L1298" s="7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10"/>
      <c r="AF1298" s="10"/>
    </row>
    <row r="1299" spans="2:32" ht="13.5" hidden="1" customHeight="1">
      <c r="B1299" s="13"/>
      <c r="C1299" s="2"/>
      <c r="D1299" s="13"/>
      <c r="E1299" s="13"/>
      <c r="F1299" s="13"/>
      <c r="G1299" s="13"/>
      <c r="H1299" s="13"/>
      <c r="I1299" s="13"/>
      <c r="J1299" s="29"/>
      <c r="K1299" s="29"/>
      <c r="L1299" s="6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4"/>
      <c r="AF1299" s="14"/>
    </row>
    <row r="1300" spans="2:32" ht="13.5" hidden="1" customHeight="1">
      <c r="B1300" s="13"/>
      <c r="C1300" s="2"/>
      <c r="D1300" s="13"/>
      <c r="E1300" s="13"/>
      <c r="F1300" s="13"/>
      <c r="G1300" s="13"/>
      <c r="H1300" s="13"/>
      <c r="I1300" s="13"/>
      <c r="J1300" s="113" t="s">
        <v>129</v>
      </c>
      <c r="K1300" s="113"/>
      <c r="L1300" s="113"/>
      <c r="M1300" s="173" t="s">
        <v>1</v>
      </c>
      <c r="N1300" s="197" t="s">
        <v>95</v>
      </c>
      <c r="O1300" s="198"/>
      <c r="P1300" s="198"/>
      <c r="Q1300" s="208" t="s">
        <v>8</v>
      </c>
      <c r="R1300" s="198"/>
      <c r="S1300" s="198" t="s">
        <v>96</v>
      </c>
      <c r="T1300" s="198"/>
      <c r="U1300" s="198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4"/>
      <c r="AF1300" s="14"/>
    </row>
    <row r="1301" spans="2:32" ht="13.5" hidden="1" customHeight="1">
      <c r="B1301" s="13"/>
      <c r="C1301" s="2"/>
      <c r="D1301" s="13"/>
      <c r="E1301" s="13"/>
      <c r="F1301" s="13"/>
      <c r="G1301" s="13"/>
      <c r="H1301" s="13"/>
      <c r="I1301" s="13"/>
      <c r="J1301" s="113"/>
      <c r="K1301" s="113"/>
      <c r="L1301" s="113"/>
      <c r="M1301" s="113"/>
      <c r="N1301" s="199"/>
      <c r="O1301" s="113"/>
      <c r="P1301" s="113"/>
      <c r="Q1301" s="113"/>
      <c r="R1301" s="113"/>
      <c r="S1301" s="113"/>
      <c r="T1301" s="113"/>
      <c r="U1301" s="1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4"/>
      <c r="AF1301" s="14"/>
    </row>
    <row r="1302" spans="2:32" ht="13.5" hidden="1" customHeight="1">
      <c r="B1302" s="13"/>
      <c r="C1302" s="2"/>
      <c r="D1302" s="13"/>
      <c r="E1302" s="13"/>
      <c r="F1302" s="13"/>
      <c r="G1302" s="13"/>
      <c r="H1302" s="13"/>
      <c r="I1302" s="13"/>
      <c r="J1302" s="29"/>
      <c r="K1302" s="29"/>
      <c r="L1302" s="6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4"/>
      <c r="AF1302" s="14"/>
    </row>
    <row r="1303" spans="2:32" ht="13.5" hidden="1" customHeight="1">
      <c r="B1303" s="13"/>
      <c r="C1303" s="2"/>
      <c r="D1303" s="13"/>
      <c r="E1303" s="13"/>
      <c r="F1303" s="13"/>
      <c r="G1303" s="13"/>
      <c r="H1303" s="13"/>
      <c r="I1303" s="13"/>
      <c r="J1303" s="113" t="s">
        <v>129</v>
      </c>
      <c r="K1303" s="113"/>
      <c r="L1303" s="113"/>
      <c r="M1303" s="173" t="s">
        <v>1</v>
      </c>
      <c r="N1303" s="206" t="e">
        <f>N1284*N1284</f>
        <v>#REF!</v>
      </c>
      <c r="O1303" s="195"/>
      <c r="P1303" s="195"/>
      <c r="Q1303" s="208" t="s">
        <v>8</v>
      </c>
      <c r="R1303" s="198"/>
      <c r="S1303" s="195" t="e">
        <f>N1294*N1294</f>
        <v>#REF!</v>
      </c>
      <c r="T1303" s="195"/>
      <c r="U1303" s="195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4"/>
      <c r="AF1303" s="14"/>
    </row>
    <row r="1304" spans="2:32" ht="13.5" hidden="1" customHeight="1">
      <c r="B1304" s="13"/>
      <c r="C1304" s="2"/>
      <c r="D1304" s="13"/>
      <c r="E1304" s="13"/>
      <c r="F1304" s="13"/>
      <c r="G1304" s="13"/>
      <c r="H1304" s="13"/>
      <c r="I1304" s="13"/>
      <c r="J1304" s="113"/>
      <c r="K1304" s="113"/>
      <c r="L1304" s="113"/>
      <c r="M1304" s="113"/>
      <c r="N1304" s="207"/>
      <c r="O1304" s="176"/>
      <c r="P1304" s="176"/>
      <c r="Q1304" s="113"/>
      <c r="R1304" s="113"/>
      <c r="S1304" s="176"/>
      <c r="T1304" s="176"/>
      <c r="U1304" s="176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4"/>
      <c r="AF1304" s="14"/>
    </row>
    <row r="1305" spans="2:32" ht="13.5" hidden="1" customHeight="1">
      <c r="B1305" s="13"/>
      <c r="C1305" s="2"/>
      <c r="D1305" s="13"/>
      <c r="E1305" s="13"/>
      <c r="F1305" s="13"/>
      <c r="G1305" s="13"/>
      <c r="H1305" s="13"/>
      <c r="I1305" s="13"/>
      <c r="J1305" s="29"/>
      <c r="K1305" s="29"/>
      <c r="L1305" s="6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4"/>
      <c r="AF1305" s="14"/>
    </row>
    <row r="1306" spans="2:32" ht="13.5" hidden="1" customHeight="1">
      <c r="B1306" s="13"/>
      <c r="C1306" s="2"/>
      <c r="D1306" s="13"/>
      <c r="E1306" s="13"/>
      <c r="F1306" s="13"/>
      <c r="G1306" s="13"/>
      <c r="H1306" s="13"/>
      <c r="I1306" s="13"/>
      <c r="J1306" s="113" t="s">
        <v>129</v>
      </c>
      <c r="K1306" s="113"/>
      <c r="L1306" s="113"/>
      <c r="M1306" s="173" t="s">
        <v>1</v>
      </c>
      <c r="N1306" s="176" t="e">
        <f>SQRT(N1303+S1303)</f>
        <v>#REF!</v>
      </c>
      <c r="O1306" s="176"/>
      <c r="P1306" s="176"/>
      <c r="Q1306" s="176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4"/>
      <c r="AF1306" s="14"/>
    </row>
    <row r="1307" spans="2:32" ht="13.5" hidden="1" customHeight="1">
      <c r="B1307" s="13"/>
      <c r="C1307" s="2"/>
      <c r="D1307" s="13"/>
      <c r="E1307" s="13"/>
      <c r="F1307" s="13"/>
      <c r="G1307" s="13"/>
      <c r="H1307" s="13"/>
      <c r="I1307" s="13"/>
      <c r="J1307" s="113"/>
      <c r="K1307" s="113"/>
      <c r="L1307" s="113"/>
      <c r="M1307" s="113"/>
      <c r="N1307" s="176"/>
      <c r="O1307" s="176"/>
      <c r="P1307" s="176"/>
      <c r="Q1307" s="176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4"/>
      <c r="AF1307" s="14"/>
    </row>
    <row r="1308" spans="2:32" ht="13.5" hidden="1" customHeight="1">
      <c r="B1308" s="13"/>
      <c r="C1308" s="2"/>
      <c r="D1308" s="13"/>
      <c r="E1308" s="13"/>
      <c r="F1308" s="13"/>
      <c r="G1308" s="13"/>
      <c r="H1308" s="13"/>
      <c r="I1308" s="13"/>
      <c r="J1308" s="29"/>
      <c r="K1308" s="29"/>
      <c r="L1308" s="6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4"/>
      <c r="AF1308" s="14"/>
    </row>
    <row r="1309" spans="2:32" s="11" customFormat="1" ht="13.5" hidden="1" customHeight="1">
      <c r="B1309" s="9"/>
      <c r="C1309" s="3"/>
      <c r="D1309" s="9"/>
      <c r="E1309" s="9"/>
      <c r="F1309" s="9" t="s">
        <v>22</v>
      </c>
      <c r="G1309" s="9" t="s">
        <v>139</v>
      </c>
      <c r="H1309" s="9"/>
      <c r="I1309" s="9"/>
      <c r="J1309" s="28"/>
      <c r="K1309" s="28"/>
      <c r="L1309" s="7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10"/>
      <c r="AF1309" s="10"/>
    </row>
    <row r="1310" spans="2:32" ht="13.5" hidden="1" customHeight="1">
      <c r="B1310" s="13"/>
      <c r="C1310" s="2"/>
      <c r="D1310" s="13"/>
      <c r="E1310" s="13"/>
      <c r="F1310" s="13"/>
      <c r="G1310" s="13"/>
      <c r="H1310" s="13"/>
      <c r="I1310" s="13"/>
      <c r="J1310" s="29"/>
      <c r="K1310" s="29"/>
      <c r="L1310" s="6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4"/>
      <c r="AF1310" s="14"/>
    </row>
    <row r="1311" spans="2:32" ht="13.5" hidden="1" customHeight="1">
      <c r="B1311" s="13"/>
      <c r="C1311" s="2"/>
      <c r="D1311" s="13"/>
      <c r="E1311" s="13"/>
      <c r="F1311" s="13"/>
      <c r="G1311" s="13"/>
      <c r="H1311" s="13"/>
      <c r="I1311" s="13"/>
      <c r="J1311" s="29"/>
      <c r="K1311" s="205" t="s">
        <v>97</v>
      </c>
      <c r="L1311" s="205"/>
      <c r="M1311" s="173" t="s">
        <v>1</v>
      </c>
      <c r="N1311" s="146" t="s">
        <v>80</v>
      </c>
      <c r="O1311" s="146"/>
      <c r="P1311" s="146"/>
      <c r="Q1311" s="146"/>
      <c r="R1311" s="146" t="s">
        <v>73</v>
      </c>
      <c r="S1311" s="146"/>
      <c r="T1311" s="146" t="s">
        <v>81</v>
      </c>
      <c r="U1311" s="146"/>
      <c r="V1311" s="146"/>
      <c r="W1311" s="13"/>
      <c r="X1311" s="13"/>
      <c r="Y1311" s="13"/>
      <c r="Z1311" s="13"/>
      <c r="AA1311" s="13"/>
      <c r="AB1311" s="13"/>
      <c r="AC1311" s="13"/>
      <c r="AD1311" s="13"/>
      <c r="AE1311" s="14"/>
      <c r="AF1311" s="14"/>
    </row>
    <row r="1312" spans="2:32" ht="13.5" hidden="1" customHeight="1">
      <c r="B1312" s="13"/>
      <c r="C1312" s="2"/>
      <c r="D1312" s="13"/>
      <c r="E1312" s="13"/>
      <c r="F1312" s="13"/>
      <c r="G1312" s="13"/>
      <c r="H1312" s="13"/>
      <c r="I1312" s="13"/>
      <c r="J1312" s="29"/>
      <c r="K1312" s="205"/>
      <c r="L1312" s="205"/>
      <c r="M1312" s="113"/>
      <c r="N1312" s="126" t="s">
        <v>98</v>
      </c>
      <c r="O1312" s="126"/>
      <c r="P1312" s="126"/>
      <c r="Q1312" s="126"/>
      <c r="R1312" s="126" t="s">
        <v>73</v>
      </c>
      <c r="S1312" s="126"/>
      <c r="T1312" s="126">
        <v>1000</v>
      </c>
      <c r="U1312" s="126"/>
      <c r="V1312" s="126"/>
      <c r="W1312" s="13"/>
      <c r="X1312" s="13"/>
      <c r="Y1312" s="13"/>
      <c r="Z1312" s="13"/>
      <c r="AA1312" s="13"/>
      <c r="AB1312" s="13"/>
      <c r="AC1312" s="13"/>
      <c r="AD1312" s="13"/>
      <c r="AE1312" s="14"/>
      <c r="AF1312" s="14"/>
    </row>
    <row r="1313" spans="2:32" ht="13.5" hidden="1" customHeight="1">
      <c r="B1313" s="13"/>
      <c r="C1313" s="2"/>
      <c r="D1313" s="13"/>
      <c r="E1313" s="13"/>
      <c r="F1313" s="13"/>
      <c r="G1313" s="13"/>
      <c r="H1313" s="13"/>
      <c r="I1313" s="13"/>
      <c r="J1313" s="29"/>
      <c r="K1313" s="29"/>
      <c r="L1313" s="6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4"/>
      <c r="AF1313" s="14"/>
    </row>
    <row r="1314" spans="2:32" ht="13.5" hidden="1" customHeight="1">
      <c r="B1314" s="13"/>
      <c r="C1314" s="2"/>
      <c r="D1314" s="13"/>
      <c r="E1314" s="13"/>
      <c r="F1314" s="13"/>
      <c r="G1314" s="13"/>
      <c r="H1314" s="13"/>
      <c r="I1314" s="13"/>
      <c r="J1314" s="29"/>
      <c r="K1314" s="205" t="s">
        <v>97</v>
      </c>
      <c r="L1314" s="205"/>
      <c r="M1314" s="173" t="s">
        <v>1</v>
      </c>
      <c r="N1314" s="174" t="e">
        <f>N1284</f>
        <v>#REF!</v>
      </c>
      <c r="O1314" s="174"/>
      <c r="P1314" s="174"/>
      <c r="Q1314" s="146" t="s">
        <v>73</v>
      </c>
      <c r="R1314" s="146"/>
      <c r="S1314" s="174" t="e">
        <f>#REF!</f>
        <v>#REF!</v>
      </c>
      <c r="T1314" s="174"/>
      <c r="U1314" s="174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4"/>
      <c r="AF1314" s="14"/>
    </row>
    <row r="1315" spans="2:32" ht="13.5" hidden="1" customHeight="1">
      <c r="B1315" s="13"/>
      <c r="C1315" s="2"/>
      <c r="D1315" s="13"/>
      <c r="E1315" s="13"/>
      <c r="F1315" s="13"/>
      <c r="G1315" s="13"/>
      <c r="H1315" s="13"/>
      <c r="I1315" s="13"/>
      <c r="J1315" s="29"/>
      <c r="K1315" s="205"/>
      <c r="L1315" s="205"/>
      <c r="M1315" s="113"/>
      <c r="N1315" s="196" t="e">
        <f>(#REF!/1000)*(#REF!/1000)</f>
        <v>#REF!</v>
      </c>
      <c r="O1315" s="196"/>
      <c r="P1315" s="196"/>
      <c r="Q1315" s="126" t="s">
        <v>73</v>
      </c>
      <c r="R1315" s="126"/>
      <c r="S1315" s="196">
        <v>1000</v>
      </c>
      <c r="T1315" s="196"/>
      <c r="U1315" s="196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4"/>
      <c r="AF1315" s="14"/>
    </row>
    <row r="1316" spans="2:32" ht="13.5" hidden="1" customHeight="1">
      <c r="B1316" s="13"/>
      <c r="C1316" s="2"/>
      <c r="D1316" s="13"/>
      <c r="E1316" s="13"/>
      <c r="F1316" s="13"/>
      <c r="G1316" s="13"/>
      <c r="H1316" s="13"/>
      <c r="I1316" s="13"/>
      <c r="J1316" s="29"/>
      <c r="K1316" s="29"/>
      <c r="L1316" s="6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4"/>
      <c r="AF1316" s="14"/>
    </row>
    <row r="1317" spans="2:32" ht="13.5" hidden="1" customHeight="1">
      <c r="B1317" s="13"/>
      <c r="C1317" s="2"/>
      <c r="D1317" s="13"/>
      <c r="E1317" s="13"/>
      <c r="F1317" s="13"/>
      <c r="G1317" s="13"/>
      <c r="H1317" s="13"/>
      <c r="I1317" s="13"/>
      <c r="J1317" s="29"/>
      <c r="K1317" s="205" t="s">
        <v>97</v>
      </c>
      <c r="L1317" s="205"/>
      <c r="M1317" s="173" t="s">
        <v>1</v>
      </c>
      <c r="N1317" s="176" t="e">
        <f>(N1314*S1314)/(N1315*S1315)</f>
        <v>#REF!</v>
      </c>
      <c r="O1317" s="176"/>
      <c r="P1317" s="176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4"/>
      <c r="AF1317" s="14"/>
    </row>
    <row r="1318" spans="2:32" ht="13.5" hidden="1" customHeight="1">
      <c r="B1318" s="13"/>
      <c r="C1318" s="2"/>
      <c r="D1318" s="13"/>
      <c r="E1318" s="13"/>
      <c r="F1318" s="13"/>
      <c r="G1318" s="13"/>
      <c r="H1318" s="13"/>
      <c r="I1318" s="13"/>
      <c r="J1318" s="29"/>
      <c r="K1318" s="205"/>
      <c r="L1318" s="205"/>
      <c r="M1318" s="113"/>
      <c r="N1318" s="176"/>
      <c r="O1318" s="176"/>
      <c r="P1318" s="176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4"/>
      <c r="AF1318" s="14"/>
    </row>
    <row r="1319" spans="2:32" ht="13.5" hidden="1" customHeight="1">
      <c r="B1319" s="13"/>
      <c r="C1319" s="2"/>
      <c r="D1319" s="13"/>
      <c r="E1319" s="13"/>
      <c r="F1319" s="13"/>
      <c r="G1319" s="13"/>
      <c r="H1319" s="13"/>
      <c r="I1319" s="13"/>
      <c r="J1319" s="29"/>
      <c r="K1319" s="29"/>
      <c r="L1319" s="6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4"/>
      <c r="AF1319" s="14"/>
    </row>
    <row r="1320" spans="2:32" s="11" customFormat="1" ht="13.5" hidden="1" customHeight="1">
      <c r="B1320" s="9"/>
      <c r="C1320" s="3"/>
      <c r="D1320" s="9"/>
      <c r="E1320" s="9"/>
      <c r="F1320" s="9" t="s">
        <v>23</v>
      </c>
      <c r="G1320" s="9" t="s">
        <v>140</v>
      </c>
      <c r="H1320" s="9"/>
      <c r="I1320" s="9"/>
      <c r="J1320" s="28"/>
      <c r="K1320" s="28"/>
      <c r="L1320" s="7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10"/>
      <c r="AF1320" s="10"/>
    </row>
    <row r="1321" spans="2:32" ht="13.5" hidden="1" customHeight="1">
      <c r="B1321" s="13"/>
      <c r="C1321" s="2"/>
      <c r="D1321" s="13"/>
      <c r="E1321" s="13"/>
      <c r="F1321" s="13"/>
      <c r="G1321" s="13"/>
      <c r="H1321" s="13"/>
      <c r="I1321" s="13"/>
      <c r="J1321" s="29"/>
      <c r="K1321" s="29"/>
      <c r="L1321" s="6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4"/>
      <c r="AF1321" s="14"/>
    </row>
    <row r="1322" spans="2:32" ht="13.5" hidden="1" customHeight="1">
      <c r="B1322" s="13"/>
      <c r="C1322" s="2"/>
      <c r="D1322" s="13"/>
      <c r="E1322" s="13"/>
      <c r="F1322" s="13"/>
      <c r="G1322" s="13"/>
      <c r="H1322" s="13"/>
      <c r="I1322" s="13"/>
      <c r="J1322" s="29"/>
      <c r="K1322" s="205" t="s">
        <v>99</v>
      </c>
      <c r="L1322" s="205"/>
      <c r="M1322" s="173" t="s">
        <v>1</v>
      </c>
      <c r="N1322" s="146" t="s">
        <v>82</v>
      </c>
      <c r="O1322" s="146"/>
      <c r="P1322" s="146"/>
      <c r="Q1322" s="146"/>
      <c r="R1322" s="146" t="s">
        <v>73</v>
      </c>
      <c r="S1322" s="146"/>
      <c r="T1322" s="146" t="s">
        <v>81</v>
      </c>
      <c r="U1322" s="146"/>
      <c r="V1322" s="146"/>
      <c r="W1322" s="13"/>
      <c r="X1322" s="13"/>
      <c r="Y1322" s="13"/>
      <c r="Z1322" s="13"/>
      <c r="AA1322" s="13"/>
      <c r="AB1322" s="13"/>
      <c r="AC1322" s="13"/>
      <c r="AD1322" s="13"/>
      <c r="AE1322" s="14"/>
      <c r="AF1322" s="14"/>
    </row>
    <row r="1323" spans="2:32" ht="13.5" hidden="1" customHeight="1">
      <c r="B1323" s="13"/>
      <c r="C1323" s="2"/>
      <c r="D1323" s="13"/>
      <c r="E1323" s="13"/>
      <c r="F1323" s="13"/>
      <c r="G1323" s="13"/>
      <c r="H1323" s="13"/>
      <c r="I1323" s="13"/>
      <c r="J1323" s="29"/>
      <c r="K1323" s="205"/>
      <c r="L1323" s="205"/>
      <c r="M1323" s="113"/>
      <c r="N1323" s="126" t="s">
        <v>98</v>
      </c>
      <c r="O1323" s="126"/>
      <c r="P1323" s="126"/>
      <c r="Q1323" s="126"/>
      <c r="R1323" s="126" t="s">
        <v>73</v>
      </c>
      <c r="S1323" s="126"/>
      <c r="T1323" s="126">
        <v>1000</v>
      </c>
      <c r="U1323" s="126"/>
      <c r="V1323" s="126"/>
      <c r="W1323" s="13"/>
      <c r="X1323" s="13"/>
      <c r="Y1323" s="13"/>
      <c r="Z1323" s="13"/>
      <c r="AA1323" s="13"/>
      <c r="AB1323" s="13"/>
      <c r="AC1323" s="13"/>
      <c r="AD1323" s="13"/>
      <c r="AE1323" s="14"/>
      <c r="AF1323" s="14"/>
    </row>
    <row r="1324" spans="2:32" ht="13.5" hidden="1" customHeight="1">
      <c r="B1324" s="13"/>
      <c r="C1324" s="2"/>
      <c r="D1324" s="13"/>
      <c r="E1324" s="13"/>
      <c r="F1324" s="13"/>
      <c r="G1324" s="13"/>
      <c r="H1324" s="13"/>
      <c r="I1324" s="13"/>
      <c r="J1324" s="29"/>
      <c r="K1324" s="29"/>
      <c r="L1324" s="6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4"/>
      <c r="AF1324" s="14"/>
    </row>
    <row r="1325" spans="2:32" ht="13.5" hidden="1" customHeight="1">
      <c r="B1325" s="13"/>
      <c r="C1325" s="2"/>
      <c r="D1325" s="13"/>
      <c r="E1325" s="13"/>
      <c r="F1325" s="13"/>
      <c r="G1325" s="13"/>
      <c r="H1325" s="13"/>
      <c r="I1325" s="13"/>
      <c r="J1325" s="29"/>
      <c r="K1325" s="205" t="s">
        <v>99</v>
      </c>
      <c r="L1325" s="205"/>
      <c r="M1325" s="173" t="s">
        <v>1</v>
      </c>
      <c r="N1325" s="174" t="e">
        <f>N1294</f>
        <v>#REF!</v>
      </c>
      <c r="O1325" s="174"/>
      <c r="P1325" s="174"/>
      <c r="Q1325" s="146" t="s">
        <v>73</v>
      </c>
      <c r="R1325" s="146"/>
      <c r="S1325" s="174" t="e">
        <f>#REF!</f>
        <v>#REF!</v>
      </c>
      <c r="T1325" s="174"/>
      <c r="U1325" s="174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4"/>
      <c r="AF1325" s="14"/>
    </row>
    <row r="1326" spans="2:32" ht="13.5" hidden="1" customHeight="1">
      <c r="B1326" s="13"/>
      <c r="C1326" s="2"/>
      <c r="D1326" s="13"/>
      <c r="E1326" s="13"/>
      <c r="F1326" s="13"/>
      <c r="G1326" s="13"/>
      <c r="H1326" s="13"/>
      <c r="I1326" s="13"/>
      <c r="J1326" s="29"/>
      <c r="K1326" s="205"/>
      <c r="L1326" s="205"/>
      <c r="M1326" s="113"/>
      <c r="N1326" s="196" t="e">
        <f>(#REF!/1000)*(#REF!/1000)</f>
        <v>#REF!</v>
      </c>
      <c r="O1326" s="196"/>
      <c r="P1326" s="196"/>
      <c r="Q1326" s="126" t="s">
        <v>73</v>
      </c>
      <c r="R1326" s="126"/>
      <c r="S1326" s="196">
        <v>1000</v>
      </c>
      <c r="T1326" s="196"/>
      <c r="U1326" s="196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4"/>
      <c r="AF1326" s="14"/>
    </row>
    <row r="1327" spans="2:32" ht="13.5" hidden="1" customHeight="1">
      <c r="B1327" s="13"/>
      <c r="C1327" s="2"/>
      <c r="D1327" s="13"/>
      <c r="E1327" s="13"/>
      <c r="F1327" s="13"/>
      <c r="G1327" s="13"/>
      <c r="H1327" s="13"/>
      <c r="I1327" s="13"/>
      <c r="J1327" s="29"/>
      <c r="K1327" s="29"/>
      <c r="L1327" s="6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4"/>
      <c r="AF1327" s="14"/>
    </row>
    <row r="1328" spans="2:32" ht="13.5" hidden="1" customHeight="1">
      <c r="B1328" s="13"/>
      <c r="C1328" s="2"/>
      <c r="D1328" s="13"/>
      <c r="E1328" s="13"/>
      <c r="F1328" s="13"/>
      <c r="G1328" s="13"/>
      <c r="H1328" s="13"/>
      <c r="I1328" s="13"/>
      <c r="J1328" s="29"/>
      <c r="K1328" s="205" t="s">
        <v>99</v>
      </c>
      <c r="L1328" s="205"/>
      <c r="M1328" s="173" t="s">
        <v>1</v>
      </c>
      <c r="N1328" s="176" t="e">
        <f>(N1325*S1325)/(N1326*S1326)</f>
        <v>#REF!</v>
      </c>
      <c r="O1328" s="176"/>
      <c r="P1328" s="176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4"/>
      <c r="AF1328" s="14"/>
    </row>
    <row r="1329" spans="2:32" ht="13.5" hidden="1" customHeight="1">
      <c r="B1329" s="13"/>
      <c r="C1329" s="2"/>
      <c r="D1329" s="13"/>
      <c r="E1329" s="13"/>
      <c r="F1329" s="13"/>
      <c r="G1329" s="13"/>
      <c r="H1329" s="13"/>
      <c r="I1329" s="13"/>
      <c r="J1329" s="29"/>
      <c r="K1329" s="205"/>
      <c r="L1329" s="205"/>
      <c r="M1329" s="113"/>
      <c r="N1329" s="176"/>
      <c r="O1329" s="176"/>
      <c r="P1329" s="176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4"/>
      <c r="AF1329" s="14"/>
    </row>
    <row r="1330" spans="2:32" ht="13.5" hidden="1" customHeight="1">
      <c r="B1330" s="13"/>
      <c r="C1330" s="2"/>
      <c r="D1330" s="13"/>
      <c r="E1330" s="13"/>
      <c r="F1330" s="13"/>
      <c r="G1330" s="13"/>
      <c r="H1330" s="13"/>
      <c r="I1330" s="13"/>
      <c r="J1330" s="29"/>
      <c r="K1330" s="29"/>
      <c r="L1330" s="29"/>
      <c r="M1330" s="13"/>
      <c r="N1330" s="17"/>
      <c r="O1330" s="17"/>
      <c r="P1330" s="17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4"/>
      <c r="AF1330" s="14"/>
    </row>
    <row r="1331" spans="2:32" ht="13.5" hidden="1" customHeight="1">
      <c r="B1331" s="13"/>
      <c r="C1331" s="2"/>
      <c r="D1331" s="13"/>
      <c r="E1331" s="13"/>
      <c r="F1331" s="13"/>
      <c r="G1331" s="13"/>
      <c r="H1331" s="13"/>
      <c r="I1331" s="13"/>
      <c r="J1331" s="29"/>
      <c r="K1331" s="29"/>
      <c r="L1331" s="6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4"/>
      <c r="AF1331" s="14"/>
    </row>
    <row r="1332" spans="2:32" ht="13.5" hidden="1" customHeight="1">
      <c r="B1332" s="13"/>
      <c r="C1332" s="2"/>
      <c r="D1332" s="13"/>
      <c r="E1332" s="13"/>
      <c r="F1332" s="13"/>
      <c r="G1332" s="13" t="s">
        <v>132</v>
      </c>
      <c r="H1332" s="13"/>
      <c r="I1332" s="13"/>
      <c r="J1332" s="29"/>
      <c r="K1332" s="29"/>
      <c r="L1332" s="6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4"/>
      <c r="AF1332" s="14"/>
    </row>
    <row r="1333" spans="2:32" ht="13.5" hidden="1" customHeight="1">
      <c r="B1333" s="13"/>
      <c r="C1333" s="2"/>
      <c r="D1333" s="13"/>
      <c r="E1333" s="13"/>
      <c r="F1333" s="13"/>
      <c r="G1333" s="13"/>
      <c r="H1333" s="13"/>
      <c r="I1333" s="13"/>
      <c r="J1333" s="29"/>
      <c r="K1333" s="29"/>
      <c r="L1333" s="6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4"/>
      <c r="AF1333" s="14"/>
    </row>
    <row r="1334" spans="2:32" s="11" customFormat="1" ht="13.5" hidden="1" customHeight="1">
      <c r="B1334" s="9"/>
      <c r="C1334" s="3"/>
      <c r="D1334" s="9"/>
      <c r="E1334" s="9"/>
      <c r="F1334" s="9" t="s">
        <v>24</v>
      </c>
      <c r="G1334" s="9" t="s">
        <v>79</v>
      </c>
      <c r="H1334" s="9"/>
      <c r="I1334" s="9"/>
      <c r="J1334" s="28"/>
      <c r="K1334" s="28"/>
      <c r="L1334" s="7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10"/>
      <c r="AF1334" s="10"/>
    </row>
    <row r="1335" spans="2:32" ht="13.5" hidden="1" customHeight="1">
      <c r="B1335" s="13"/>
      <c r="C1335" s="2"/>
      <c r="D1335" s="13"/>
      <c r="E1335" s="13"/>
      <c r="F1335" s="13"/>
      <c r="G1335" s="13"/>
      <c r="H1335" s="13"/>
      <c r="I1335" s="13"/>
      <c r="J1335" s="29"/>
      <c r="K1335" s="29"/>
      <c r="L1335" s="6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4"/>
      <c r="AF1335" s="14"/>
    </row>
    <row r="1336" spans="2:32" ht="13.5" hidden="1" customHeight="1">
      <c r="B1336" s="13"/>
      <c r="C1336" s="2"/>
      <c r="D1336" s="13"/>
      <c r="E1336" s="13"/>
      <c r="F1336" s="13"/>
      <c r="G1336" s="13"/>
      <c r="H1336" s="13"/>
      <c r="I1336" s="113" t="s">
        <v>133</v>
      </c>
      <c r="J1336" s="113"/>
      <c r="K1336" s="113"/>
      <c r="L1336" s="113"/>
      <c r="M1336" s="173" t="s">
        <v>1</v>
      </c>
      <c r="N1336" s="197" t="s">
        <v>95</v>
      </c>
      <c r="O1336" s="198"/>
      <c r="P1336" s="198"/>
      <c r="Q1336" s="208" t="s">
        <v>8</v>
      </c>
      <c r="R1336" s="198"/>
      <c r="S1336" s="198" t="s">
        <v>96</v>
      </c>
      <c r="T1336" s="198"/>
      <c r="U1336" s="198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4"/>
      <c r="AF1336" s="14"/>
    </row>
    <row r="1337" spans="2:32" ht="13.5" hidden="1" customHeight="1">
      <c r="B1337" s="13"/>
      <c r="C1337" s="2"/>
      <c r="D1337" s="13"/>
      <c r="E1337" s="13"/>
      <c r="F1337" s="13"/>
      <c r="G1337" s="13"/>
      <c r="H1337" s="13"/>
      <c r="I1337" s="113"/>
      <c r="J1337" s="113"/>
      <c r="K1337" s="113"/>
      <c r="L1337" s="113"/>
      <c r="M1337" s="113"/>
      <c r="N1337" s="199"/>
      <c r="O1337" s="113"/>
      <c r="P1337" s="113"/>
      <c r="Q1337" s="113"/>
      <c r="R1337" s="113"/>
      <c r="S1337" s="113"/>
      <c r="T1337" s="113"/>
      <c r="U1337" s="1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4"/>
      <c r="AF1337" s="14"/>
    </row>
    <row r="1338" spans="2:32" ht="13.5" hidden="1" customHeight="1">
      <c r="B1338" s="13"/>
      <c r="C1338" s="2"/>
      <c r="D1338" s="13"/>
      <c r="E1338" s="13"/>
      <c r="F1338" s="13"/>
      <c r="G1338" s="13"/>
      <c r="H1338" s="13"/>
      <c r="I1338" s="13"/>
      <c r="J1338" s="29"/>
      <c r="K1338" s="29"/>
      <c r="L1338" s="6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4"/>
      <c r="AF1338" s="14"/>
    </row>
    <row r="1339" spans="2:32" ht="13.5" hidden="1" customHeight="1">
      <c r="B1339" s="13"/>
      <c r="C1339" s="2"/>
      <c r="D1339" s="13"/>
      <c r="E1339" s="13"/>
      <c r="F1339" s="13"/>
      <c r="G1339" s="13"/>
      <c r="H1339" s="13"/>
      <c r="I1339" s="113" t="s">
        <v>133</v>
      </c>
      <c r="J1339" s="113"/>
      <c r="K1339" s="113"/>
      <c r="L1339" s="113"/>
      <c r="M1339" s="173" t="s">
        <v>1</v>
      </c>
      <c r="N1339" s="206" t="e">
        <f>N1317*N1317</f>
        <v>#REF!</v>
      </c>
      <c r="O1339" s="195"/>
      <c r="P1339" s="195"/>
      <c r="Q1339" s="208" t="s">
        <v>8</v>
      </c>
      <c r="R1339" s="198"/>
      <c r="S1339" s="195" t="e">
        <f>N1328*N1328</f>
        <v>#REF!</v>
      </c>
      <c r="T1339" s="195"/>
      <c r="U1339" s="195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4"/>
      <c r="AF1339" s="14"/>
    </row>
    <row r="1340" spans="2:32" ht="13.5" hidden="1" customHeight="1">
      <c r="B1340" s="13"/>
      <c r="C1340" s="2"/>
      <c r="D1340" s="13"/>
      <c r="E1340" s="13"/>
      <c r="F1340" s="13"/>
      <c r="G1340" s="13"/>
      <c r="H1340" s="13"/>
      <c r="I1340" s="113"/>
      <c r="J1340" s="113"/>
      <c r="K1340" s="113"/>
      <c r="L1340" s="113"/>
      <c r="M1340" s="113"/>
      <c r="N1340" s="207"/>
      <c r="O1340" s="176"/>
      <c r="P1340" s="176"/>
      <c r="Q1340" s="113"/>
      <c r="R1340" s="113"/>
      <c r="S1340" s="176"/>
      <c r="T1340" s="176"/>
      <c r="U1340" s="176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4"/>
      <c r="AF1340" s="14"/>
    </row>
    <row r="1341" spans="2:32" ht="13.5" hidden="1" customHeight="1">
      <c r="B1341" s="13"/>
      <c r="C1341" s="2"/>
      <c r="D1341" s="13"/>
      <c r="E1341" s="13"/>
      <c r="F1341" s="13"/>
      <c r="G1341" s="13"/>
      <c r="H1341" s="13"/>
      <c r="I1341" s="13"/>
      <c r="J1341" s="29"/>
      <c r="K1341" s="29"/>
      <c r="L1341" s="6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4"/>
      <c r="AF1341" s="14"/>
    </row>
    <row r="1342" spans="2:32" ht="13.5" hidden="1" customHeight="1">
      <c r="B1342" s="13"/>
      <c r="C1342" s="2"/>
      <c r="D1342" s="13"/>
      <c r="E1342" s="13"/>
      <c r="F1342" s="13"/>
      <c r="G1342" s="13"/>
      <c r="H1342" s="13"/>
      <c r="I1342" s="113" t="s">
        <v>133</v>
      </c>
      <c r="J1342" s="113"/>
      <c r="K1342" s="113"/>
      <c r="L1342" s="113"/>
      <c r="M1342" s="173" t="s">
        <v>1</v>
      </c>
      <c r="N1342" s="176" t="e">
        <f>SQRT(N1339+S1339)</f>
        <v>#REF!</v>
      </c>
      <c r="O1342" s="176"/>
      <c r="P1342" s="176"/>
      <c r="Q1342" s="176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4"/>
      <c r="AF1342" s="14"/>
    </row>
    <row r="1343" spans="2:32" ht="13.5" hidden="1" customHeight="1">
      <c r="B1343" s="13"/>
      <c r="C1343" s="2"/>
      <c r="D1343" s="13"/>
      <c r="E1343" s="13"/>
      <c r="F1343" s="13"/>
      <c r="G1343" s="13"/>
      <c r="H1343" s="13"/>
      <c r="I1343" s="113"/>
      <c r="J1343" s="113"/>
      <c r="K1343" s="113"/>
      <c r="L1343" s="113"/>
      <c r="M1343" s="113"/>
      <c r="N1343" s="176"/>
      <c r="O1343" s="176"/>
      <c r="P1343" s="176"/>
      <c r="Q1343" s="176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4"/>
      <c r="AF1343" s="14"/>
    </row>
    <row r="1344" spans="2:32" ht="13.5" hidden="1" customHeight="1">
      <c r="B1344" s="21"/>
      <c r="C1344" s="34"/>
      <c r="D1344" s="21"/>
      <c r="E1344" s="21"/>
      <c r="F1344" s="21"/>
      <c r="G1344" s="21"/>
      <c r="H1344" s="21"/>
      <c r="I1344" s="21"/>
      <c r="J1344" s="35"/>
      <c r="K1344" s="35"/>
      <c r="L1344" s="35"/>
      <c r="M1344" s="21"/>
      <c r="N1344" s="36"/>
      <c r="O1344" s="36"/>
      <c r="P1344" s="36"/>
      <c r="Q1344" s="36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3"/>
      <c r="AF1344" s="14"/>
    </row>
    <row r="1345" spans="2:32" ht="13.5" hidden="1" customHeight="1">
      <c r="B1345" s="13"/>
      <c r="C1345" s="2"/>
      <c r="D1345" s="13"/>
      <c r="E1345" s="13"/>
      <c r="F1345" s="13"/>
      <c r="G1345" s="13"/>
      <c r="H1345" s="13"/>
      <c r="I1345" s="13"/>
      <c r="J1345" s="29"/>
      <c r="K1345" s="29"/>
      <c r="L1345" s="29"/>
      <c r="M1345" s="13"/>
      <c r="N1345" s="17"/>
      <c r="O1345" s="17"/>
      <c r="P1345" s="17"/>
      <c r="Q1345" s="17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4"/>
      <c r="AF1345" s="14"/>
    </row>
    <row r="1346" spans="2:32" s="11" customFormat="1" ht="13.5" hidden="1" customHeight="1">
      <c r="B1346" s="9"/>
      <c r="C1346" s="9" t="s">
        <v>58</v>
      </c>
      <c r="D1346" s="9"/>
      <c r="E1346" s="9" t="s">
        <v>135</v>
      </c>
      <c r="F1346" s="9"/>
      <c r="G1346" s="20"/>
      <c r="H1346" s="37"/>
      <c r="I1346" s="7"/>
      <c r="J1346" s="7"/>
      <c r="K1346" s="7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10"/>
      <c r="AF1346" s="10"/>
    </row>
    <row r="1347" spans="2:32" ht="13.5" hidden="1" customHeight="1">
      <c r="B1347" s="13"/>
      <c r="C1347" s="13"/>
      <c r="D1347" s="13"/>
      <c r="E1347" s="13"/>
      <c r="F1347" s="13"/>
      <c r="G1347" s="18"/>
      <c r="H1347" s="38"/>
      <c r="I1347" s="6"/>
      <c r="J1347" s="6"/>
      <c r="K1347" s="6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4"/>
      <c r="AF1347" s="14"/>
    </row>
    <row r="1348" spans="2:32" ht="13.5" hidden="1" customHeight="1">
      <c r="B1348" s="13"/>
      <c r="C1348" s="13"/>
      <c r="D1348" s="13"/>
      <c r="E1348" s="125" t="s">
        <v>91</v>
      </c>
      <c r="F1348" s="125"/>
      <c r="G1348" s="30" t="s">
        <v>1</v>
      </c>
      <c r="H1348" s="125" t="s">
        <v>92</v>
      </c>
      <c r="I1348" s="125"/>
      <c r="J1348" s="125"/>
      <c r="K1348" s="175" t="s">
        <v>8</v>
      </c>
      <c r="L1348" s="125"/>
      <c r="M1348" s="125" t="s">
        <v>100</v>
      </c>
      <c r="N1348" s="125"/>
      <c r="O1348" s="125"/>
      <c r="P1348" s="175" t="s">
        <v>8</v>
      </c>
      <c r="Q1348" s="175"/>
      <c r="R1348" s="125" t="s">
        <v>69</v>
      </c>
      <c r="S1348" s="125"/>
      <c r="T1348" s="125"/>
      <c r="U1348" s="30" t="s">
        <v>8</v>
      </c>
      <c r="V1348" s="128" t="s">
        <v>13</v>
      </c>
      <c r="W1348" s="128"/>
      <c r="X1348" s="128"/>
      <c r="Y1348" s="30" t="s">
        <v>8</v>
      </c>
      <c r="Z1348" s="128" t="s">
        <v>133</v>
      </c>
      <c r="AA1348" s="128"/>
      <c r="AB1348" s="128"/>
      <c r="AC1348" s="128"/>
      <c r="AD1348" s="2"/>
      <c r="AE1348" s="14"/>
      <c r="AF1348" s="14"/>
    </row>
    <row r="1349" spans="2:32" ht="13.5" hidden="1" customHeight="1">
      <c r="B1349" s="13"/>
      <c r="C1349" s="13"/>
      <c r="D1349" s="13"/>
      <c r="E1349" s="125" t="s">
        <v>91</v>
      </c>
      <c r="F1349" s="125"/>
      <c r="G1349" s="30" t="s">
        <v>1</v>
      </c>
      <c r="H1349" s="177" t="e">
        <f>#REF!</f>
        <v>#REF!</v>
      </c>
      <c r="I1349" s="177"/>
      <c r="J1349" s="177"/>
      <c r="K1349" s="175" t="s">
        <v>8</v>
      </c>
      <c r="L1349" s="125"/>
      <c r="M1349" s="177" t="e">
        <f>#REF!</f>
        <v>#REF!</v>
      </c>
      <c r="N1349" s="177"/>
      <c r="O1349" s="177"/>
      <c r="P1349" s="175" t="s">
        <v>8</v>
      </c>
      <c r="Q1349" s="175"/>
      <c r="R1349" s="177" t="e">
        <f>#REF!</f>
        <v>#REF!</v>
      </c>
      <c r="S1349" s="177"/>
      <c r="T1349" s="177"/>
      <c r="U1349" s="30" t="s">
        <v>8</v>
      </c>
      <c r="V1349" s="177" t="e">
        <f>$N$766</f>
        <v>#REF!</v>
      </c>
      <c r="W1349" s="177"/>
      <c r="X1349" s="177"/>
      <c r="Y1349" s="30" t="s">
        <v>8</v>
      </c>
      <c r="Z1349" s="177" t="e">
        <f>N1342</f>
        <v>#REF!</v>
      </c>
      <c r="AA1349" s="177"/>
      <c r="AB1349" s="177"/>
      <c r="AC1349" s="177"/>
      <c r="AD1349" s="31"/>
      <c r="AE1349" s="14"/>
      <c r="AF1349" s="14"/>
    </row>
    <row r="1350" spans="2:32" ht="13.5" hidden="1" customHeight="1">
      <c r="B1350" s="13"/>
      <c r="C1350" s="13"/>
      <c r="D1350" s="13"/>
      <c r="E1350" s="125" t="s">
        <v>91</v>
      </c>
      <c r="F1350" s="125"/>
      <c r="G1350" s="30" t="s">
        <v>1</v>
      </c>
      <c r="H1350" s="177" t="e">
        <f>H1349+M1349+R1349+V1349+Z1349</f>
        <v>#REF!</v>
      </c>
      <c r="I1350" s="177"/>
      <c r="J1350" s="177"/>
      <c r="K1350" s="175"/>
      <c r="L1350" s="125"/>
      <c r="M1350" s="125"/>
      <c r="N1350" s="125"/>
      <c r="O1350" s="125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4"/>
      <c r="AF1350" s="14"/>
    </row>
    <row r="1351" spans="2:32" ht="13.5" hidden="1" customHeight="1">
      <c r="B1351" s="13"/>
      <c r="C1351" s="2"/>
      <c r="D1351" s="13"/>
      <c r="E1351" s="13"/>
      <c r="F1351" s="13"/>
      <c r="G1351" s="13"/>
      <c r="H1351" s="13"/>
      <c r="I1351" s="13"/>
      <c r="J1351" s="29"/>
      <c r="K1351" s="29"/>
      <c r="L1351" s="29"/>
      <c r="M1351" s="13"/>
      <c r="N1351" s="17"/>
      <c r="O1351" s="17"/>
      <c r="P1351" s="17"/>
      <c r="Q1351" s="17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4"/>
      <c r="AF1351" s="14"/>
    </row>
    <row r="1352" spans="2:32" ht="13.5" hidden="1" customHeight="1">
      <c r="B1352" s="13"/>
      <c r="C1352" s="2"/>
      <c r="D1352" s="13"/>
      <c r="E1352" s="13"/>
      <c r="F1352" s="13"/>
      <c r="G1352" s="13"/>
      <c r="H1352" s="13"/>
      <c r="I1352" s="13"/>
      <c r="J1352" s="29"/>
      <c r="K1352" s="29"/>
      <c r="L1352" s="29"/>
      <c r="M1352" s="13"/>
      <c r="N1352" s="17"/>
      <c r="O1352" s="17"/>
      <c r="P1352" s="17"/>
      <c r="Q1352" s="17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4"/>
      <c r="AF1352" s="14"/>
    </row>
    <row r="1353" spans="2:32" s="11" customFormat="1" ht="13.5" hidden="1" customHeight="1">
      <c r="B1353" s="9"/>
      <c r="C1353" s="3"/>
      <c r="D1353" s="9"/>
      <c r="E1353" s="9"/>
      <c r="F1353" s="9" t="s">
        <v>59</v>
      </c>
      <c r="G1353" s="9" t="s">
        <v>83</v>
      </c>
      <c r="H1353" s="9"/>
      <c r="I1353" s="9"/>
      <c r="J1353" s="28"/>
      <c r="K1353" s="28"/>
      <c r="L1353" s="7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10"/>
      <c r="AF1353" s="10"/>
    </row>
    <row r="1354" spans="2:32" ht="13.5" hidden="1" customHeight="1">
      <c r="B1354" s="13"/>
      <c r="C1354" s="2"/>
      <c r="D1354" s="13"/>
      <c r="E1354" s="13"/>
      <c r="F1354" s="13"/>
      <c r="G1354" s="13"/>
      <c r="H1354" s="13"/>
      <c r="I1354" s="13"/>
      <c r="J1354" s="29"/>
      <c r="K1354" s="29"/>
      <c r="L1354" s="6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4"/>
      <c r="AF1354" s="14"/>
    </row>
    <row r="1355" spans="2:32" ht="13.5" hidden="1" customHeight="1">
      <c r="B1355" s="13"/>
      <c r="C1355" s="2"/>
      <c r="D1355" s="13"/>
      <c r="E1355" s="13"/>
      <c r="F1355" s="13"/>
      <c r="G1355" s="13"/>
      <c r="H1355" s="13"/>
      <c r="I1355" s="13"/>
      <c r="J1355" s="205" t="s">
        <v>93</v>
      </c>
      <c r="K1355" s="205"/>
      <c r="L1355" s="173" t="s">
        <v>1</v>
      </c>
      <c r="M1355" s="146" t="s">
        <v>72</v>
      </c>
      <c r="N1355" s="146"/>
      <c r="O1355" s="146"/>
      <c r="P1355" s="146"/>
      <c r="Q1355" s="146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4"/>
      <c r="AF1355" s="14"/>
    </row>
    <row r="1356" spans="2:32" ht="13.5" hidden="1" customHeight="1">
      <c r="B1356" s="13"/>
      <c r="C1356" s="2"/>
      <c r="D1356" s="13"/>
      <c r="E1356" s="13"/>
      <c r="F1356" s="13"/>
      <c r="G1356" s="13"/>
      <c r="H1356" s="13"/>
      <c r="I1356" s="13"/>
      <c r="J1356" s="205"/>
      <c r="K1356" s="205"/>
      <c r="L1356" s="173"/>
      <c r="M1356" s="126" t="s">
        <v>70</v>
      </c>
      <c r="N1356" s="126"/>
      <c r="O1356" s="126"/>
      <c r="P1356" s="126"/>
      <c r="Q1356" s="126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4"/>
      <c r="AF1356" s="14"/>
    </row>
    <row r="1357" spans="2:32" ht="13.5" hidden="1" customHeight="1">
      <c r="B1357" s="13"/>
      <c r="C1357" s="2"/>
      <c r="D1357" s="13"/>
      <c r="E1357" s="13"/>
      <c r="F1357" s="13"/>
      <c r="G1357" s="13"/>
      <c r="H1357" s="13"/>
      <c r="I1357" s="13"/>
      <c r="J1357" s="29"/>
      <c r="K1357" s="29"/>
      <c r="L1357" s="6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4"/>
      <c r="AF1357" s="14"/>
    </row>
    <row r="1358" spans="2:32" ht="13.5" hidden="1" customHeight="1">
      <c r="B1358" s="13"/>
      <c r="C1358" s="2"/>
      <c r="D1358" s="13"/>
      <c r="E1358" s="13"/>
      <c r="F1358" s="13"/>
      <c r="G1358" s="13"/>
      <c r="H1358" s="13"/>
      <c r="I1358" s="13"/>
      <c r="J1358" s="205" t="s">
        <v>93</v>
      </c>
      <c r="K1358" s="205"/>
      <c r="L1358" s="173" t="s">
        <v>1</v>
      </c>
      <c r="M1358" s="174" t="e">
        <f>#REF!</f>
        <v>#REF!</v>
      </c>
      <c r="N1358" s="174"/>
      <c r="O1358" s="174"/>
      <c r="P1358" s="174"/>
      <c r="Q1358" s="174"/>
      <c r="R1358" s="174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4"/>
      <c r="AF1358" s="14"/>
    </row>
    <row r="1359" spans="2:32" ht="13.5" hidden="1" customHeight="1">
      <c r="B1359" s="13"/>
      <c r="C1359" s="2"/>
      <c r="D1359" s="13"/>
      <c r="E1359" s="13"/>
      <c r="F1359" s="13"/>
      <c r="G1359" s="13"/>
      <c r="H1359" s="13"/>
      <c r="I1359" s="13"/>
      <c r="J1359" s="205"/>
      <c r="K1359" s="205"/>
      <c r="L1359" s="173"/>
      <c r="M1359" s="31">
        <v>4</v>
      </c>
      <c r="N1359" s="6" t="s">
        <v>73</v>
      </c>
      <c r="O1359" s="211">
        <v>800</v>
      </c>
      <c r="P1359" s="211"/>
      <c r="Q1359" s="211"/>
      <c r="R1359" s="211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4"/>
      <c r="AF1359" s="14"/>
    </row>
    <row r="1360" spans="2:32" ht="13.5" hidden="1" customHeight="1">
      <c r="B1360" s="13"/>
      <c r="C1360" s="2"/>
      <c r="D1360" s="13"/>
      <c r="E1360" s="13"/>
      <c r="F1360" s="13"/>
      <c r="G1360" s="13"/>
      <c r="H1360" s="13"/>
      <c r="I1360" s="13"/>
      <c r="J1360" s="29"/>
      <c r="K1360" s="29"/>
      <c r="L1360" s="6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4"/>
      <c r="AF1360" s="14"/>
    </row>
    <row r="1361" spans="2:32" ht="13.5" hidden="1" customHeight="1">
      <c r="B1361" s="13"/>
      <c r="C1361" s="2"/>
      <c r="D1361" s="13"/>
      <c r="E1361" s="13"/>
      <c r="F1361" s="13"/>
      <c r="G1361" s="13"/>
      <c r="H1361" s="13"/>
      <c r="I1361" s="13"/>
      <c r="J1361" s="205" t="s">
        <v>93</v>
      </c>
      <c r="K1361" s="205"/>
      <c r="L1361" s="173" t="s">
        <v>1</v>
      </c>
      <c r="M1361" s="113"/>
      <c r="N1361" s="176" t="e">
        <f>M1358/M1359/O1359</f>
        <v>#REF!</v>
      </c>
      <c r="O1361" s="176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4"/>
      <c r="AF1361" s="14"/>
    </row>
    <row r="1362" spans="2:32" ht="13.5" hidden="1" customHeight="1">
      <c r="B1362" s="13"/>
      <c r="C1362" s="2"/>
      <c r="D1362" s="13"/>
      <c r="E1362" s="13"/>
      <c r="F1362" s="13"/>
      <c r="G1362" s="13"/>
      <c r="H1362" s="13"/>
      <c r="I1362" s="13"/>
      <c r="J1362" s="205"/>
      <c r="K1362" s="205"/>
      <c r="L1362" s="173"/>
      <c r="M1362" s="113"/>
      <c r="N1362" s="176"/>
      <c r="O1362" s="176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4"/>
      <c r="AF1362" s="14"/>
    </row>
    <row r="1363" spans="2:32" ht="13.5" hidden="1" customHeight="1">
      <c r="B1363" s="13"/>
      <c r="C1363" s="2"/>
      <c r="D1363" s="13"/>
      <c r="E1363" s="13"/>
      <c r="F1363" s="13"/>
      <c r="G1363" s="13"/>
      <c r="H1363" s="13"/>
      <c r="I1363" s="13"/>
      <c r="J1363" s="29"/>
      <c r="K1363" s="29"/>
      <c r="L1363" s="29"/>
      <c r="M1363" s="13"/>
      <c r="N1363" s="17"/>
      <c r="O1363" s="17"/>
      <c r="P1363" s="17"/>
      <c r="Q1363" s="17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4"/>
      <c r="AF1363" s="14"/>
    </row>
    <row r="1364" spans="2:32" ht="13.5" hidden="1" customHeight="1">
      <c r="B1364" s="13"/>
      <c r="C1364" s="2"/>
      <c r="D1364" s="13"/>
      <c r="E1364" s="13"/>
      <c r="F1364" s="13"/>
      <c r="G1364" s="13"/>
      <c r="H1364" s="13"/>
      <c r="I1364" s="13"/>
      <c r="J1364" s="29"/>
      <c r="K1364" s="29"/>
      <c r="L1364" s="29"/>
      <c r="M1364" s="13"/>
      <c r="N1364" s="17"/>
      <c r="O1364" s="17"/>
      <c r="P1364" s="17"/>
      <c r="Q1364" s="17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4"/>
      <c r="AF1364" s="14"/>
    </row>
    <row r="1365" spans="2:32" s="11" customFormat="1" ht="13.5" hidden="1" customHeight="1">
      <c r="B1365" s="9"/>
      <c r="C1365" s="3"/>
      <c r="D1365" s="9"/>
      <c r="E1365" s="9"/>
      <c r="F1365" s="9" t="s">
        <v>84</v>
      </c>
      <c r="G1365" s="185" t="s">
        <v>153</v>
      </c>
      <c r="H1365" s="185"/>
      <c r="I1365" s="185"/>
      <c r="J1365" s="185"/>
      <c r="K1365" s="185"/>
      <c r="L1365" s="185"/>
      <c r="M1365" s="185"/>
      <c r="N1365" s="185"/>
      <c r="O1365" s="185"/>
      <c r="P1365" s="185"/>
      <c r="Q1365" s="185"/>
      <c r="R1365" s="185"/>
      <c r="S1365" s="185"/>
      <c r="T1365" s="185"/>
      <c r="U1365" s="185"/>
      <c r="V1365" s="9"/>
      <c r="W1365" s="9"/>
      <c r="X1365" s="9"/>
      <c r="Y1365" s="9"/>
      <c r="Z1365" s="9"/>
      <c r="AA1365" s="9"/>
      <c r="AB1365" s="9"/>
      <c r="AC1365" s="9"/>
      <c r="AD1365" s="9"/>
      <c r="AE1365" s="10"/>
      <c r="AF1365" s="10"/>
    </row>
    <row r="1366" spans="2:32" ht="13.5" hidden="1" customHeight="1">
      <c r="B1366" s="13"/>
      <c r="C1366" s="2"/>
      <c r="D1366" s="13"/>
      <c r="E1366" s="13"/>
      <c r="F1366" s="13"/>
      <c r="G1366" s="13"/>
      <c r="H1366" s="13"/>
      <c r="I1366" s="13"/>
      <c r="J1366" s="29"/>
      <c r="K1366" s="29"/>
      <c r="L1366" s="6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4"/>
      <c r="AF1366" s="14"/>
    </row>
    <row r="1367" spans="2:32" ht="13.5" hidden="1" customHeight="1">
      <c r="B1367" s="13"/>
      <c r="C1367" s="2"/>
      <c r="D1367" s="13"/>
      <c r="E1367" s="13"/>
      <c r="F1367" s="13"/>
      <c r="G1367" s="13"/>
      <c r="H1367" s="13"/>
      <c r="I1367" s="13"/>
      <c r="J1367" s="113" t="s">
        <v>134</v>
      </c>
      <c r="K1367" s="113"/>
      <c r="L1367" s="113"/>
      <c r="M1367" s="173" t="s">
        <v>1</v>
      </c>
      <c r="N1367" s="146" t="s">
        <v>91</v>
      </c>
      <c r="O1367" s="146"/>
      <c r="P1367" s="146"/>
      <c r="Q1367" s="146" t="s">
        <v>73</v>
      </c>
      <c r="R1367" s="146"/>
      <c r="S1367" s="146" t="s">
        <v>93</v>
      </c>
      <c r="T1367" s="146"/>
      <c r="U1367" s="146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4"/>
      <c r="AF1367" s="14"/>
    </row>
    <row r="1368" spans="2:32" ht="13.5" hidden="1" customHeight="1">
      <c r="B1368" s="13"/>
      <c r="C1368" s="2"/>
      <c r="D1368" s="13"/>
      <c r="E1368" s="13"/>
      <c r="F1368" s="13"/>
      <c r="G1368" s="13"/>
      <c r="H1368" s="13"/>
      <c r="I1368" s="13"/>
      <c r="J1368" s="113"/>
      <c r="K1368" s="113"/>
      <c r="L1368" s="113"/>
      <c r="M1368" s="113"/>
      <c r="N1368" s="125" t="s">
        <v>91</v>
      </c>
      <c r="O1368" s="125"/>
      <c r="P1368" s="125"/>
      <c r="Q1368" s="175" t="s">
        <v>8</v>
      </c>
      <c r="R1368" s="125"/>
      <c r="S1368" s="125" t="s">
        <v>93</v>
      </c>
      <c r="T1368" s="125"/>
      <c r="U1368" s="125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4"/>
      <c r="AF1368" s="14"/>
    </row>
    <row r="1369" spans="2:32" ht="13.5" hidden="1" customHeight="1">
      <c r="B1369" s="13"/>
      <c r="C1369" s="2"/>
      <c r="D1369" s="13"/>
      <c r="E1369" s="13"/>
      <c r="F1369" s="13"/>
      <c r="G1369" s="13"/>
      <c r="H1369" s="13"/>
      <c r="I1369" s="13"/>
      <c r="J1369" s="29"/>
      <c r="K1369" s="29"/>
      <c r="L1369" s="6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4"/>
      <c r="AF1369" s="14"/>
    </row>
    <row r="1370" spans="2:32" ht="13.5" hidden="1" customHeight="1">
      <c r="B1370" s="13"/>
      <c r="C1370" s="2"/>
      <c r="D1370" s="13"/>
      <c r="E1370" s="13"/>
      <c r="F1370" s="13"/>
      <c r="G1370" s="13"/>
      <c r="H1370" s="13"/>
      <c r="I1370" s="13"/>
      <c r="J1370" s="113" t="s">
        <v>134</v>
      </c>
      <c r="K1370" s="113"/>
      <c r="L1370" s="113"/>
      <c r="M1370" s="173" t="s">
        <v>1</v>
      </c>
      <c r="N1370" s="174" t="e">
        <f>H1350</f>
        <v>#REF!</v>
      </c>
      <c r="O1370" s="174"/>
      <c r="P1370" s="174"/>
      <c r="Q1370" s="146" t="s">
        <v>73</v>
      </c>
      <c r="R1370" s="146"/>
      <c r="S1370" s="174" t="e">
        <f>N1361</f>
        <v>#REF!</v>
      </c>
      <c r="T1370" s="174"/>
      <c r="U1370" s="174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4"/>
      <c r="AF1370" s="14"/>
    </row>
    <row r="1371" spans="2:32" ht="13.5" hidden="1" customHeight="1">
      <c r="B1371" s="13"/>
      <c r="C1371" s="2"/>
      <c r="D1371" s="13"/>
      <c r="E1371" s="13"/>
      <c r="F1371" s="13"/>
      <c r="G1371" s="13"/>
      <c r="H1371" s="13"/>
      <c r="I1371" s="13"/>
      <c r="J1371" s="113"/>
      <c r="K1371" s="113"/>
      <c r="L1371" s="113"/>
      <c r="M1371" s="113"/>
      <c r="N1371" s="196" t="e">
        <f>H1350</f>
        <v>#REF!</v>
      </c>
      <c r="O1371" s="196"/>
      <c r="P1371" s="196"/>
      <c r="Q1371" s="210" t="s">
        <v>8</v>
      </c>
      <c r="R1371" s="126"/>
      <c r="S1371" s="196" t="e">
        <f>N1361</f>
        <v>#REF!</v>
      </c>
      <c r="T1371" s="196"/>
      <c r="U1371" s="196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4"/>
      <c r="AF1371" s="14"/>
    </row>
    <row r="1372" spans="2:32" ht="13.5" hidden="1" customHeight="1">
      <c r="B1372" s="13"/>
      <c r="C1372" s="2"/>
      <c r="D1372" s="13"/>
      <c r="E1372" s="13"/>
      <c r="F1372" s="13"/>
      <c r="G1372" s="13"/>
      <c r="H1372" s="13"/>
      <c r="I1372" s="13"/>
      <c r="J1372" s="29"/>
      <c r="K1372" s="29"/>
      <c r="L1372" s="6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4"/>
      <c r="AF1372" s="14"/>
    </row>
    <row r="1373" spans="2:32" ht="13.5" hidden="1" customHeight="1">
      <c r="B1373" s="13"/>
      <c r="C1373" s="2"/>
      <c r="D1373" s="13"/>
      <c r="E1373" s="13"/>
      <c r="F1373" s="13"/>
      <c r="G1373" s="13"/>
      <c r="H1373" s="13"/>
      <c r="I1373" s="13"/>
      <c r="J1373" s="113" t="s">
        <v>134</v>
      </c>
      <c r="K1373" s="113"/>
      <c r="L1373" s="113"/>
      <c r="M1373" s="173" t="s">
        <v>1</v>
      </c>
      <c r="N1373" s="176" t="e">
        <f>(N1370*S1370)/(N1371+S1371)</f>
        <v>#REF!</v>
      </c>
      <c r="O1373" s="176"/>
      <c r="P1373" s="176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4"/>
      <c r="AF1373" s="14"/>
    </row>
    <row r="1374" spans="2:32" ht="13.5" hidden="1" customHeight="1">
      <c r="B1374" s="13"/>
      <c r="C1374" s="2"/>
      <c r="D1374" s="13"/>
      <c r="E1374" s="13"/>
      <c r="F1374" s="13"/>
      <c r="G1374" s="13"/>
      <c r="H1374" s="13"/>
      <c r="I1374" s="13"/>
      <c r="J1374" s="113"/>
      <c r="K1374" s="113"/>
      <c r="L1374" s="113"/>
      <c r="M1374" s="113"/>
      <c r="N1374" s="176"/>
      <c r="O1374" s="176"/>
      <c r="P1374" s="176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4"/>
      <c r="AF1374" s="14"/>
    </row>
    <row r="1375" spans="2:32" ht="13.5" hidden="1" customHeight="1">
      <c r="B1375" s="13"/>
      <c r="C1375" s="2"/>
      <c r="D1375" s="13"/>
      <c r="E1375" s="13"/>
      <c r="F1375" s="13"/>
      <c r="G1375" s="13"/>
      <c r="H1375" s="13"/>
      <c r="I1375" s="13"/>
      <c r="J1375" s="17"/>
      <c r="K1375" s="17"/>
      <c r="L1375" s="17"/>
      <c r="M1375" s="17"/>
      <c r="N1375" s="17"/>
      <c r="O1375" s="17"/>
      <c r="P1375" s="17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4"/>
      <c r="AF1375" s="14"/>
    </row>
    <row r="1376" spans="2:32" ht="13.5" hidden="1" customHeight="1">
      <c r="B1376" s="13"/>
      <c r="C1376" s="2"/>
      <c r="D1376" s="13"/>
      <c r="E1376" s="13"/>
      <c r="F1376" s="13"/>
      <c r="G1376" s="13"/>
      <c r="H1376" s="13"/>
      <c r="I1376" s="13"/>
      <c r="J1376" s="29"/>
      <c r="K1376" s="29"/>
      <c r="L1376" s="29"/>
      <c r="M1376" s="13"/>
      <c r="N1376" s="17"/>
      <c r="O1376" s="17"/>
      <c r="P1376" s="17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4"/>
      <c r="AF1376" s="14"/>
    </row>
    <row r="1377" spans="2:32" s="11" customFormat="1" ht="13.5" hidden="1" customHeight="1">
      <c r="B1377" s="9"/>
      <c r="C1377" s="3"/>
      <c r="D1377" s="9"/>
      <c r="E1377" s="9"/>
      <c r="F1377" s="9" t="s">
        <v>85</v>
      </c>
      <c r="G1377" s="9" t="s">
        <v>136</v>
      </c>
      <c r="H1377" s="9"/>
      <c r="I1377" s="9"/>
      <c r="J1377" s="28"/>
      <c r="K1377" s="28"/>
      <c r="L1377" s="28"/>
      <c r="M1377" s="9"/>
      <c r="N1377" s="16"/>
      <c r="O1377" s="16"/>
      <c r="P1377" s="16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10"/>
      <c r="AF1377" s="10"/>
    </row>
    <row r="1378" spans="2:32" ht="13.5" hidden="1" customHeight="1">
      <c r="B1378" s="13"/>
      <c r="C1378" s="2"/>
      <c r="D1378" s="13"/>
      <c r="E1378" s="13"/>
      <c r="F1378" s="13"/>
      <c r="G1378" s="13"/>
      <c r="H1378" s="13"/>
      <c r="I1378" s="13"/>
      <c r="J1378" s="29"/>
      <c r="K1378" s="29"/>
      <c r="L1378" s="6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4"/>
      <c r="AF1378" s="14"/>
    </row>
    <row r="1379" spans="2:32" ht="13.5" hidden="1" customHeight="1">
      <c r="B1379" s="13"/>
      <c r="C1379" s="2"/>
      <c r="D1379" s="13"/>
      <c r="E1379" s="13"/>
      <c r="F1379" s="13"/>
      <c r="G1379" s="13"/>
      <c r="H1379" s="13"/>
      <c r="I1379" s="13"/>
      <c r="J1379" s="113" t="s">
        <v>137</v>
      </c>
      <c r="K1379" s="113"/>
      <c r="L1379" s="113"/>
      <c r="M1379" s="173" t="s">
        <v>1</v>
      </c>
      <c r="N1379" s="146" t="s">
        <v>74</v>
      </c>
      <c r="O1379" s="146"/>
      <c r="P1379" s="146"/>
      <c r="Q1379" s="146"/>
      <c r="R1379" s="146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4"/>
      <c r="AF1379" s="14"/>
    </row>
    <row r="1380" spans="2:32" ht="13.5" hidden="1" customHeight="1">
      <c r="B1380" s="13"/>
      <c r="C1380" s="2"/>
      <c r="D1380" s="13"/>
      <c r="E1380" s="13"/>
      <c r="F1380" s="13"/>
      <c r="G1380" s="13"/>
      <c r="H1380" s="13"/>
      <c r="I1380" s="13"/>
      <c r="J1380" s="113"/>
      <c r="K1380" s="113"/>
      <c r="L1380" s="113"/>
      <c r="M1380" s="113"/>
      <c r="N1380" s="125" t="s">
        <v>134</v>
      </c>
      <c r="O1380" s="125"/>
      <c r="P1380" s="125"/>
      <c r="Q1380" s="125"/>
      <c r="R1380" s="125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4"/>
      <c r="AF1380" s="14"/>
    </row>
    <row r="1381" spans="2:32" ht="13.5" hidden="1" customHeight="1">
      <c r="B1381" s="13"/>
      <c r="C1381" s="2"/>
      <c r="D1381" s="13"/>
      <c r="E1381" s="13"/>
      <c r="F1381" s="13"/>
      <c r="G1381" s="13"/>
      <c r="H1381" s="13"/>
      <c r="I1381" s="13"/>
      <c r="J1381" s="29"/>
      <c r="K1381" s="29"/>
      <c r="L1381" s="6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4"/>
      <c r="AF1381" s="14"/>
    </row>
    <row r="1382" spans="2:32" ht="13.5" hidden="1" customHeight="1">
      <c r="B1382" s="13"/>
      <c r="C1382" s="2"/>
      <c r="D1382" s="13"/>
      <c r="E1382" s="13"/>
      <c r="F1382" s="13"/>
      <c r="G1382" s="13"/>
      <c r="H1382" s="13"/>
      <c r="I1382" s="13"/>
      <c r="J1382" s="113" t="s">
        <v>137</v>
      </c>
      <c r="K1382" s="113"/>
      <c r="L1382" s="113"/>
      <c r="M1382" s="13"/>
      <c r="N1382" s="174">
        <f>$K$81</f>
        <v>0</v>
      </c>
      <c r="O1382" s="174"/>
      <c r="P1382" s="174"/>
      <c r="Q1382" s="174"/>
      <c r="R1382" s="174"/>
      <c r="S1382" s="174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4"/>
      <c r="AF1382" s="14"/>
    </row>
    <row r="1383" spans="2:32" ht="13.5" hidden="1" customHeight="1">
      <c r="B1383" s="13"/>
      <c r="C1383" s="2"/>
      <c r="D1383" s="13"/>
      <c r="E1383" s="13"/>
      <c r="F1383" s="13"/>
      <c r="G1383" s="13"/>
      <c r="H1383" s="13"/>
      <c r="I1383" s="13"/>
      <c r="J1383" s="113"/>
      <c r="K1383" s="113"/>
      <c r="L1383" s="113"/>
      <c r="M1383" s="13"/>
      <c r="N1383" s="196" t="e">
        <f>N1373</f>
        <v>#REF!</v>
      </c>
      <c r="O1383" s="196"/>
      <c r="P1383" s="196"/>
      <c r="Q1383" s="196"/>
      <c r="R1383" s="196"/>
      <c r="S1383" s="196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4"/>
      <c r="AF1383" s="14"/>
    </row>
    <row r="1384" spans="2:32" ht="13.5" hidden="1" customHeight="1">
      <c r="B1384" s="13"/>
      <c r="C1384" s="2"/>
      <c r="D1384" s="13"/>
      <c r="E1384" s="13"/>
      <c r="F1384" s="13"/>
      <c r="G1384" s="13"/>
      <c r="H1384" s="13"/>
      <c r="I1384" s="13"/>
      <c r="J1384" s="29"/>
      <c r="K1384" s="29"/>
      <c r="L1384" s="6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4"/>
      <c r="AF1384" s="14"/>
    </row>
    <row r="1385" spans="2:32" ht="13.5" hidden="1" customHeight="1">
      <c r="B1385" s="13"/>
      <c r="C1385" s="2"/>
      <c r="D1385" s="13"/>
      <c r="E1385" s="13"/>
      <c r="F1385" s="13"/>
      <c r="G1385" s="13"/>
      <c r="H1385" s="13"/>
      <c r="I1385" s="13"/>
      <c r="J1385" s="113" t="s">
        <v>137</v>
      </c>
      <c r="K1385" s="113"/>
      <c r="L1385" s="113"/>
      <c r="M1385" s="113" t="s">
        <v>1</v>
      </c>
      <c r="N1385" s="113"/>
      <c r="O1385" s="176" t="e">
        <f>N1382/N1383</f>
        <v>#REF!</v>
      </c>
      <c r="P1385" s="176"/>
      <c r="Q1385" s="176"/>
      <c r="R1385" s="176"/>
      <c r="S1385" s="13"/>
      <c r="T1385" s="113" t="s">
        <v>75</v>
      </c>
      <c r="U1385" s="1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4"/>
      <c r="AF1385" s="14"/>
    </row>
    <row r="1386" spans="2:32" ht="13.5" hidden="1" customHeight="1">
      <c r="B1386" s="13"/>
      <c r="C1386" s="2"/>
      <c r="D1386" s="13"/>
      <c r="E1386" s="13"/>
      <c r="F1386" s="13"/>
      <c r="G1386" s="13"/>
      <c r="H1386" s="13"/>
      <c r="I1386" s="13"/>
      <c r="J1386" s="113"/>
      <c r="K1386" s="113"/>
      <c r="L1386" s="113"/>
      <c r="M1386" s="113"/>
      <c r="N1386" s="113"/>
      <c r="O1386" s="176"/>
      <c r="P1386" s="176"/>
      <c r="Q1386" s="176"/>
      <c r="R1386" s="176"/>
      <c r="S1386" s="13"/>
      <c r="T1386" s="113"/>
      <c r="U1386" s="1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4"/>
      <c r="AF1386" s="14"/>
    </row>
    <row r="1387" spans="2:32" ht="13.5" hidden="1" customHeight="1">
      <c r="B1387" s="13"/>
      <c r="C1387" s="2"/>
      <c r="D1387" s="13"/>
      <c r="E1387" s="13"/>
      <c r="F1387" s="13"/>
      <c r="G1387" s="13"/>
      <c r="H1387" s="13"/>
      <c r="I1387" s="13"/>
      <c r="J1387" s="29"/>
      <c r="K1387" s="29"/>
      <c r="L1387" s="6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4"/>
      <c r="AF1387" s="14"/>
    </row>
    <row r="1388" spans="2:32" ht="13.5" hidden="1" customHeight="1">
      <c r="B1388" s="13"/>
      <c r="C1388" s="2"/>
      <c r="D1388" s="13"/>
      <c r="E1388" s="13"/>
      <c r="F1388" s="13"/>
      <c r="G1388" s="13"/>
      <c r="H1388" s="13"/>
      <c r="I1388" s="13"/>
      <c r="J1388" s="29"/>
      <c r="K1388" s="29"/>
      <c r="L1388" s="6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4"/>
      <c r="AF1388" s="14"/>
    </row>
    <row r="1389" spans="2:32" ht="13.5" hidden="1" customHeight="1">
      <c r="B1389" s="13"/>
      <c r="C1389" s="2"/>
      <c r="D1389" s="13"/>
      <c r="E1389" s="13"/>
      <c r="F1389" s="13"/>
      <c r="G1389" s="13"/>
      <c r="H1389" s="13"/>
      <c r="I1389" s="13"/>
      <c r="J1389" s="29"/>
      <c r="K1389" s="29"/>
      <c r="L1389" s="6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4"/>
      <c r="AF1389" s="14"/>
    </row>
    <row r="1390" spans="2:32" ht="13.5" hidden="1" customHeight="1">
      <c r="B1390" s="13"/>
      <c r="C1390" s="2"/>
      <c r="D1390" s="13"/>
      <c r="E1390" s="13"/>
      <c r="F1390" s="13"/>
      <c r="G1390" s="13"/>
      <c r="H1390" s="13"/>
      <c r="I1390" s="13"/>
      <c r="J1390" s="29"/>
      <c r="K1390" s="29"/>
      <c r="L1390" s="6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4"/>
      <c r="AF1390" s="14"/>
    </row>
    <row r="1391" spans="2:32" ht="13.5" hidden="1" customHeight="1">
      <c r="B1391" s="13"/>
      <c r="C1391" s="2"/>
      <c r="D1391" s="13"/>
      <c r="E1391" s="13"/>
      <c r="F1391" s="13"/>
      <c r="G1391" s="13"/>
      <c r="H1391" s="13"/>
      <c r="I1391" s="13"/>
      <c r="J1391" s="29"/>
      <c r="K1391" s="29"/>
      <c r="L1391" s="6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4"/>
      <c r="AF1391" s="14"/>
    </row>
    <row r="1392" spans="2:32" ht="13.5" hidden="1" customHeight="1">
      <c r="B1392" s="21"/>
      <c r="C1392" s="34"/>
      <c r="D1392" s="21"/>
      <c r="E1392" s="21"/>
      <c r="F1392" s="21"/>
      <c r="G1392" s="21"/>
      <c r="H1392" s="21"/>
      <c r="I1392" s="21"/>
      <c r="J1392" s="35"/>
      <c r="K1392" s="35"/>
      <c r="L1392" s="22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3"/>
      <c r="AF1392" s="14"/>
    </row>
    <row r="1393" spans="2:32" ht="13.5" hidden="1" customHeight="1">
      <c r="B1393" s="13"/>
      <c r="C1393" s="2"/>
      <c r="D1393" s="13"/>
      <c r="E1393" s="13"/>
      <c r="F1393" s="13"/>
      <c r="G1393" s="13"/>
      <c r="H1393" s="13"/>
      <c r="I1393" s="13"/>
      <c r="J1393" s="29"/>
      <c r="K1393" s="29"/>
      <c r="L1393" s="6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4"/>
      <c r="AF1393" s="14"/>
    </row>
    <row r="1394" spans="2:32" ht="13.5" hidden="1" customHeight="1">
      <c r="B1394" s="13"/>
      <c r="C1394" s="2"/>
      <c r="D1394" s="13"/>
      <c r="E1394" s="13"/>
      <c r="F1394" s="13"/>
      <c r="G1394" s="13"/>
      <c r="H1394" s="13"/>
      <c r="I1394" s="13"/>
      <c r="J1394" s="29"/>
      <c r="K1394" s="29"/>
      <c r="L1394" s="6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4"/>
      <c r="AF1394" s="14"/>
    </row>
    <row r="1395" spans="2:32" ht="13.5" hidden="1" customHeight="1">
      <c r="B1395" s="13"/>
      <c r="C1395" s="2"/>
      <c r="D1395" s="13"/>
      <c r="E1395" s="13"/>
      <c r="F1395" s="13"/>
      <c r="G1395" s="13"/>
      <c r="H1395" s="13"/>
      <c r="I1395" s="13"/>
      <c r="J1395" s="29"/>
      <c r="K1395" s="29"/>
      <c r="L1395" s="6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4"/>
      <c r="AF1395" s="14"/>
    </row>
    <row r="1396" spans="2:32" s="11" customFormat="1" ht="13.5" hidden="1" customHeight="1">
      <c r="B1396" s="9"/>
      <c r="C1396" s="3"/>
      <c r="D1396" s="9"/>
      <c r="E1396" s="9"/>
      <c r="F1396" s="9" t="s">
        <v>86</v>
      </c>
      <c r="G1396" s="9" t="s">
        <v>65</v>
      </c>
      <c r="H1396" s="9"/>
      <c r="I1396" s="9"/>
      <c r="J1396" s="28"/>
      <c r="K1396" s="28"/>
      <c r="L1396" s="7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10"/>
      <c r="AF1396" s="10"/>
    </row>
    <row r="1397" spans="2:32" s="11" customFormat="1" ht="13.5" hidden="1" customHeight="1">
      <c r="B1397" s="9"/>
      <c r="C1397" s="3"/>
      <c r="D1397" s="9"/>
      <c r="E1397" s="9"/>
      <c r="F1397" s="9"/>
      <c r="G1397" s="9" t="s">
        <v>136</v>
      </c>
      <c r="H1397" s="9"/>
      <c r="I1397" s="9"/>
      <c r="J1397" s="28"/>
      <c r="K1397" s="28"/>
      <c r="L1397" s="7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10"/>
      <c r="AF1397" s="10"/>
    </row>
    <row r="1398" spans="2:32" ht="13.5" hidden="1" customHeight="1">
      <c r="B1398" s="13"/>
      <c r="C1398" s="2"/>
      <c r="D1398" s="13"/>
      <c r="E1398" s="13"/>
      <c r="F1398" s="13"/>
      <c r="G1398" s="13"/>
      <c r="H1398" s="13"/>
      <c r="I1398" s="13"/>
      <c r="J1398" s="29"/>
      <c r="K1398" s="29"/>
      <c r="L1398" s="6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4"/>
      <c r="AF1398" s="14"/>
    </row>
    <row r="1399" spans="2:32" ht="13.5" hidden="1" customHeight="1">
      <c r="B1399" s="13"/>
      <c r="C1399" s="2"/>
      <c r="D1399" s="13"/>
      <c r="E1399" s="13"/>
      <c r="F1399" s="13"/>
      <c r="G1399" s="13"/>
      <c r="H1399" s="13"/>
      <c r="I1399" s="13"/>
      <c r="J1399" s="113" t="s">
        <v>138</v>
      </c>
      <c r="K1399" s="113"/>
      <c r="L1399" s="113"/>
      <c r="M1399" s="173" t="s">
        <v>1</v>
      </c>
      <c r="N1399" s="113" t="s">
        <v>137</v>
      </c>
      <c r="O1399" s="113"/>
      <c r="P1399" s="113"/>
      <c r="Q1399" s="173" t="s">
        <v>73</v>
      </c>
      <c r="R1399" s="173"/>
      <c r="S1399" s="113">
        <v>1.25</v>
      </c>
      <c r="T1399" s="113"/>
      <c r="U1399" s="1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4"/>
      <c r="AF1399" s="14"/>
    </row>
    <row r="1400" spans="2:32" ht="13.5" hidden="1" customHeight="1">
      <c r="B1400" s="13"/>
      <c r="C1400" s="2"/>
      <c r="D1400" s="13"/>
      <c r="E1400" s="13"/>
      <c r="F1400" s="13"/>
      <c r="G1400" s="13"/>
      <c r="H1400" s="13"/>
      <c r="I1400" s="13"/>
      <c r="J1400" s="113"/>
      <c r="K1400" s="113"/>
      <c r="L1400" s="113"/>
      <c r="M1400" s="113"/>
      <c r="N1400" s="113"/>
      <c r="O1400" s="113"/>
      <c r="P1400" s="113"/>
      <c r="Q1400" s="173"/>
      <c r="R1400" s="173"/>
      <c r="S1400" s="113"/>
      <c r="T1400" s="113"/>
      <c r="U1400" s="1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4"/>
      <c r="AF1400" s="14"/>
    </row>
    <row r="1401" spans="2:32" ht="13.5" hidden="1" customHeight="1">
      <c r="B1401" s="13"/>
      <c r="C1401" s="2"/>
      <c r="D1401" s="13"/>
      <c r="E1401" s="13"/>
      <c r="F1401" s="13"/>
      <c r="G1401" s="13"/>
      <c r="H1401" s="13"/>
      <c r="I1401" s="13"/>
      <c r="J1401" s="29"/>
      <c r="K1401" s="29"/>
      <c r="L1401" s="6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4"/>
      <c r="AF1401" s="14"/>
    </row>
    <row r="1402" spans="2:32" ht="13.5" hidden="1" customHeight="1">
      <c r="B1402" s="13"/>
      <c r="C1402" s="2"/>
      <c r="D1402" s="13"/>
      <c r="E1402" s="13"/>
      <c r="F1402" s="13"/>
      <c r="G1402" s="13"/>
      <c r="H1402" s="13"/>
      <c r="I1402" s="13"/>
      <c r="J1402" s="113" t="s">
        <v>138</v>
      </c>
      <c r="K1402" s="113"/>
      <c r="L1402" s="113"/>
      <c r="M1402" s="173" t="s">
        <v>1</v>
      </c>
      <c r="N1402" s="176" t="e">
        <f>O1384+O1385</f>
        <v>#REF!</v>
      </c>
      <c r="O1402" s="176"/>
      <c r="P1402" s="176"/>
      <c r="Q1402" s="173" t="s">
        <v>73</v>
      </c>
      <c r="R1402" s="173"/>
      <c r="S1402" s="113">
        <v>1.25</v>
      </c>
      <c r="T1402" s="113"/>
      <c r="U1402" s="1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4"/>
      <c r="AF1402" s="14"/>
    </row>
    <row r="1403" spans="2:32" ht="13.5" hidden="1" customHeight="1">
      <c r="B1403" s="13"/>
      <c r="C1403" s="2"/>
      <c r="D1403" s="13"/>
      <c r="E1403" s="13"/>
      <c r="F1403" s="13"/>
      <c r="G1403" s="13"/>
      <c r="H1403" s="13"/>
      <c r="I1403" s="13"/>
      <c r="J1403" s="113"/>
      <c r="K1403" s="113"/>
      <c r="L1403" s="113"/>
      <c r="M1403" s="113"/>
      <c r="N1403" s="176"/>
      <c r="O1403" s="176"/>
      <c r="P1403" s="176"/>
      <c r="Q1403" s="173"/>
      <c r="R1403" s="173"/>
      <c r="S1403" s="113"/>
      <c r="T1403" s="113"/>
      <c r="U1403" s="1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4"/>
      <c r="AF1403" s="14"/>
    </row>
    <row r="1404" spans="2:32" ht="13.5" hidden="1" customHeight="1">
      <c r="B1404" s="13"/>
      <c r="C1404" s="2"/>
      <c r="D1404" s="13"/>
      <c r="E1404" s="13"/>
      <c r="F1404" s="13"/>
      <c r="G1404" s="13"/>
      <c r="H1404" s="13"/>
      <c r="I1404" s="13"/>
      <c r="J1404" s="29"/>
      <c r="K1404" s="29"/>
      <c r="L1404" s="6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4"/>
      <c r="AF1404" s="14"/>
    </row>
    <row r="1405" spans="2:32" ht="13.5" hidden="1" customHeight="1">
      <c r="B1405" s="13"/>
      <c r="C1405" s="2"/>
      <c r="D1405" s="13"/>
      <c r="E1405" s="13"/>
      <c r="F1405" s="13"/>
      <c r="G1405" s="13"/>
      <c r="H1405" s="13"/>
      <c r="I1405" s="13"/>
      <c r="J1405" s="113" t="s">
        <v>138</v>
      </c>
      <c r="K1405" s="113"/>
      <c r="L1405" s="113"/>
      <c r="M1405" s="173" t="s">
        <v>1</v>
      </c>
      <c r="N1405" s="13"/>
      <c r="O1405" s="176" t="e">
        <f>N1402*S1402</f>
        <v>#REF!</v>
      </c>
      <c r="P1405" s="176"/>
      <c r="Q1405" s="176"/>
      <c r="R1405" s="176"/>
      <c r="S1405" s="13"/>
      <c r="T1405" s="113" t="s">
        <v>75</v>
      </c>
      <c r="U1405" s="1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4"/>
      <c r="AF1405" s="14"/>
    </row>
    <row r="1406" spans="2:32" ht="13.5" hidden="1" customHeight="1">
      <c r="B1406" s="13"/>
      <c r="C1406" s="2"/>
      <c r="D1406" s="13"/>
      <c r="E1406" s="13"/>
      <c r="F1406" s="13"/>
      <c r="G1406" s="13"/>
      <c r="H1406" s="13"/>
      <c r="I1406" s="13"/>
      <c r="J1406" s="113"/>
      <c r="K1406" s="113"/>
      <c r="L1406" s="113"/>
      <c r="M1406" s="113"/>
      <c r="N1406" s="13"/>
      <c r="O1406" s="176"/>
      <c r="P1406" s="176"/>
      <c r="Q1406" s="176"/>
      <c r="R1406" s="176"/>
      <c r="S1406" s="13"/>
      <c r="T1406" s="113"/>
      <c r="U1406" s="1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4"/>
      <c r="AF1406" s="14"/>
    </row>
    <row r="1407" spans="2:32" ht="13.5" hidden="1" customHeight="1">
      <c r="B1407" s="13"/>
      <c r="C1407" s="2"/>
      <c r="D1407" s="13"/>
      <c r="E1407" s="13"/>
      <c r="F1407" s="13"/>
      <c r="G1407" s="13"/>
      <c r="H1407" s="13"/>
      <c r="I1407" s="13"/>
      <c r="J1407" s="29"/>
      <c r="K1407" s="29"/>
      <c r="L1407" s="6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4"/>
      <c r="AF1407" s="14"/>
    </row>
    <row r="1408" spans="2:32" ht="13.5" hidden="1" customHeight="1">
      <c r="B1408" s="13"/>
      <c r="C1408" s="2"/>
      <c r="D1408" s="13"/>
      <c r="E1408" s="13"/>
      <c r="F1408" s="13"/>
      <c r="G1408" s="13"/>
      <c r="H1408" s="13"/>
      <c r="I1408" s="13"/>
      <c r="J1408" s="29"/>
      <c r="K1408" s="29"/>
      <c r="L1408" s="6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4"/>
      <c r="AF1408" s="14"/>
    </row>
    <row r="1409" spans="2:32" ht="13.5" hidden="1" customHeight="1">
      <c r="B1409" s="13"/>
      <c r="C1409" s="2"/>
      <c r="D1409" s="13"/>
      <c r="E1409" s="13"/>
      <c r="F1409" s="13"/>
      <c r="G1409" s="13"/>
      <c r="H1409" s="13"/>
      <c r="I1409" s="13"/>
      <c r="J1409" s="29"/>
      <c r="K1409" s="29"/>
      <c r="L1409" s="6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4"/>
      <c r="AF1409" s="14"/>
    </row>
    <row r="1410" spans="2:32" s="11" customFormat="1" ht="13.5" hidden="1" customHeight="1">
      <c r="B1410" s="9"/>
      <c r="C1410" s="3"/>
      <c r="D1410" s="9"/>
      <c r="E1410" s="9" t="s">
        <v>104</v>
      </c>
      <c r="F1410" s="9"/>
      <c r="G1410" s="9"/>
      <c r="H1410" s="9"/>
      <c r="I1410" s="9"/>
      <c r="J1410" s="28"/>
      <c r="K1410" s="28"/>
      <c r="L1410" s="7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10"/>
      <c r="AF1410" s="10"/>
    </row>
    <row r="1411" spans="2:32" ht="13.5" hidden="1" customHeight="1">
      <c r="B1411" s="13"/>
      <c r="C1411" s="2"/>
      <c r="D1411" s="13"/>
      <c r="E1411" s="13"/>
      <c r="F1411" s="13"/>
      <c r="G1411" s="13"/>
      <c r="H1411" s="13"/>
      <c r="I1411" s="13"/>
      <c r="J1411" s="29"/>
      <c r="K1411" s="29"/>
      <c r="L1411" s="6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4"/>
      <c r="AF1411" s="14"/>
    </row>
    <row r="1412" spans="2:32" ht="13.5" hidden="1" customHeight="1">
      <c r="B1412" s="13"/>
      <c r="C1412" s="2"/>
      <c r="D1412" s="13"/>
      <c r="E1412" s="13"/>
      <c r="F1412" s="13"/>
      <c r="G1412" s="13"/>
      <c r="H1412" s="13"/>
      <c r="I1412" s="13"/>
      <c r="J1412" s="29"/>
      <c r="K1412" s="29"/>
      <c r="L1412" s="6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4"/>
      <c r="AF1412" s="14"/>
    </row>
    <row r="1413" spans="2:32" ht="13.5" hidden="1" customHeight="1">
      <c r="B1413" s="13"/>
      <c r="C1413" s="2"/>
      <c r="D1413" s="13"/>
      <c r="E1413" s="13"/>
      <c r="F1413" s="13"/>
      <c r="G1413" s="13"/>
      <c r="H1413" s="13"/>
      <c r="I1413" s="13"/>
      <c r="J1413" s="29"/>
      <c r="K1413" s="29"/>
      <c r="L1413" s="6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4"/>
      <c r="AF1413" s="14"/>
    </row>
    <row r="1414" spans="2:32" ht="13.5" hidden="1" customHeight="1">
      <c r="B1414" s="13"/>
      <c r="C1414" s="2"/>
      <c r="D1414" s="13"/>
      <c r="E1414" s="13"/>
      <c r="F1414" s="13"/>
      <c r="G1414" s="13"/>
      <c r="H1414" s="13"/>
      <c r="I1414" s="13"/>
      <c r="J1414" s="29"/>
      <c r="K1414" s="29"/>
      <c r="L1414" s="6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4"/>
      <c r="AF1414" s="14"/>
    </row>
    <row r="1415" spans="2:32" ht="13.5" hidden="1" customHeight="1">
      <c r="B1415" s="13"/>
      <c r="C1415" s="2"/>
      <c r="D1415" s="13"/>
      <c r="E1415" s="13"/>
      <c r="F1415" s="13"/>
      <c r="G1415" s="13"/>
      <c r="H1415" s="13"/>
      <c r="I1415" s="13"/>
      <c r="J1415" s="29"/>
      <c r="K1415" s="29"/>
      <c r="L1415" s="6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4"/>
      <c r="AF1415" s="14"/>
    </row>
    <row r="1416" spans="2:32" ht="13.5" hidden="1" customHeight="1">
      <c r="B1416" s="13"/>
      <c r="C1416" s="2"/>
      <c r="D1416" s="13"/>
      <c r="E1416" s="13"/>
      <c r="F1416" s="13"/>
      <c r="G1416" s="13"/>
      <c r="H1416" s="13"/>
      <c r="I1416" s="13"/>
      <c r="J1416" s="29"/>
      <c r="K1416" s="29"/>
      <c r="L1416" s="6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4"/>
      <c r="AF1416" s="14"/>
    </row>
    <row r="1417" spans="2:32" ht="13.5" hidden="1" customHeight="1">
      <c r="B1417" s="13"/>
      <c r="C1417" s="2"/>
      <c r="D1417" s="13"/>
      <c r="E1417" s="13"/>
      <c r="F1417" s="13"/>
      <c r="G1417" s="13"/>
      <c r="H1417" s="13"/>
      <c r="I1417" s="13"/>
      <c r="J1417" s="29"/>
      <c r="K1417" s="29"/>
      <c r="L1417" s="6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4"/>
      <c r="AF1417" s="14"/>
    </row>
    <row r="1418" spans="2:32" ht="13.5" hidden="1" customHeight="1">
      <c r="B1418" s="13"/>
      <c r="C1418" s="2"/>
      <c r="D1418" s="13"/>
      <c r="E1418" s="13"/>
      <c r="F1418" s="13"/>
      <c r="G1418" s="13"/>
      <c r="H1418" s="13"/>
      <c r="I1418" s="13"/>
      <c r="J1418" s="29"/>
      <c r="K1418" s="29"/>
      <c r="L1418" s="6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4"/>
      <c r="AF1418" s="14"/>
    </row>
    <row r="1419" spans="2:32" ht="13.5" hidden="1" customHeight="1">
      <c r="B1419" s="13"/>
      <c r="C1419" s="2"/>
      <c r="D1419" s="13"/>
      <c r="E1419" s="13"/>
      <c r="F1419" s="13"/>
      <c r="G1419" s="13"/>
      <c r="H1419" s="13"/>
      <c r="I1419" s="13"/>
      <c r="J1419" s="29"/>
      <c r="K1419" s="29"/>
      <c r="L1419" s="6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4"/>
      <c r="AF1419" s="14"/>
    </row>
    <row r="1420" spans="2:32" ht="13.5" hidden="1" customHeight="1">
      <c r="B1420" s="13"/>
      <c r="C1420" s="2"/>
      <c r="D1420" s="13"/>
      <c r="E1420" s="13"/>
      <c r="F1420" s="13"/>
      <c r="G1420" s="13"/>
      <c r="H1420" s="13"/>
      <c r="I1420" s="13"/>
      <c r="J1420" s="29"/>
      <c r="K1420" s="29"/>
      <c r="L1420" s="6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4"/>
      <c r="AF1420" s="14"/>
    </row>
    <row r="1421" spans="2:32" ht="13.5" hidden="1" customHeight="1">
      <c r="B1421" s="13"/>
      <c r="C1421" s="2"/>
      <c r="D1421" s="13"/>
      <c r="E1421" s="13"/>
      <c r="F1421" s="13"/>
      <c r="G1421" s="13"/>
      <c r="H1421" s="13"/>
      <c r="I1421" s="13"/>
      <c r="J1421" s="29"/>
      <c r="K1421" s="29"/>
      <c r="L1421" s="6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4"/>
      <c r="AF1421" s="14"/>
    </row>
    <row r="1422" spans="2:32" ht="13.5" hidden="1" customHeight="1">
      <c r="B1422" s="13"/>
      <c r="C1422" s="2"/>
      <c r="D1422" s="13"/>
      <c r="E1422" s="13"/>
      <c r="F1422" s="13"/>
      <c r="G1422" s="13"/>
      <c r="H1422" s="13"/>
      <c r="I1422" s="13"/>
      <c r="J1422" s="29"/>
      <c r="K1422" s="29"/>
      <c r="L1422" s="6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4"/>
      <c r="AF1422" s="14"/>
    </row>
    <row r="1423" spans="2:32" ht="13.5" hidden="1" customHeight="1">
      <c r="B1423" s="13"/>
      <c r="C1423" s="2"/>
      <c r="D1423" s="13"/>
      <c r="E1423" s="13"/>
      <c r="F1423" s="13"/>
      <c r="G1423" s="13"/>
      <c r="H1423" s="13"/>
      <c r="I1423" s="13"/>
      <c r="J1423" s="29"/>
      <c r="K1423" s="29"/>
      <c r="L1423" s="6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4"/>
      <c r="AF1423" s="14"/>
    </row>
    <row r="1424" spans="2:32" ht="13.5" hidden="1" customHeight="1">
      <c r="B1424" s="13"/>
      <c r="C1424" s="2"/>
      <c r="D1424" s="13"/>
      <c r="E1424" s="13"/>
      <c r="F1424" s="13"/>
      <c r="G1424" s="13"/>
      <c r="H1424" s="13"/>
      <c r="I1424" s="13"/>
      <c r="J1424" s="29"/>
      <c r="K1424" s="29"/>
      <c r="L1424" s="6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4"/>
      <c r="AF1424" s="14"/>
    </row>
    <row r="1425" spans="2:32" ht="13.5" hidden="1" customHeight="1">
      <c r="B1425" s="13"/>
      <c r="C1425" s="2"/>
      <c r="D1425" s="13"/>
      <c r="E1425" s="13"/>
      <c r="F1425" s="13"/>
      <c r="G1425" s="13"/>
      <c r="H1425" s="13"/>
      <c r="I1425" s="13"/>
      <c r="J1425" s="29"/>
      <c r="K1425" s="29"/>
      <c r="L1425" s="6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4"/>
      <c r="AF1425" s="14"/>
    </row>
    <row r="1426" spans="2:32" ht="13.5" hidden="1" customHeight="1">
      <c r="B1426" s="13"/>
      <c r="C1426" s="2"/>
      <c r="D1426" s="13"/>
      <c r="E1426" s="13"/>
      <c r="F1426" s="13"/>
      <c r="G1426" s="13"/>
      <c r="H1426" s="13"/>
      <c r="I1426" s="13"/>
      <c r="J1426" s="29"/>
      <c r="K1426" s="29"/>
      <c r="L1426" s="6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4"/>
      <c r="AF1426" s="14"/>
    </row>
    <row r="1427" spans="2:32" ht="13.5" hidden="1" customHeight="1">
      <c r="B1427" s="13"/>
      <c r="C1427" s="2"/>
      <c r="D1427" s="13"/>
      <c r="E1427" s="13"/>
      <c r="F1427" s="13"/>
      <c r="G1427" s="13"/>
      <c r="H1427" s="13"/>
      <c r="I1427" s="13"/>
      <c r="J1427" s="29"/>
      <c r="K1427" s="29"/>
      <c r="L1427" s="6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4"/>
      <c r="AF1427" s="14"/>
    </row>
    <row r="1428" spans="2:32" ht="13.5" hidden="1" customHeight="1">
      <c r="B1428" s="13"/>
      <c r="C1428" s="2"/>
      <c r="D1428" s="13"/>
      <c r="E1428" s="13"/>
      <c r="F1428" s="13"/>
      <c r="G1428" s="13"/>
      <c r="H1428" s="13"/>
      <c r="I1428" s="13"/>
      <c r="J1428" s="29"/>
      <c r="K1428" s="29"/>
      <c r="L1428" s="6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4"/>
      <c r="AF1428" s="14"/>
    </row>
    <row r="1429" spans="2:32" ht="13.5" hidden="1" customHeight="1">
      <c r="B1429" s="13"/>
      <c r="C1429" s="2"/>
      <c r="D1429" s="13"/>
      <c r="E1429" s="13"/>
      <c r="F1429" s="13"/>
      <c r="G1429" s="13"/>
      <c r="H1429" s="13"/>
      <c r="I1429" s="13"/>
      <c r="J1429" s="29"/>
      <c r="K1429" s="29"/>
      <c r="L1429" s="6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4"/>
      <c r="AF1429" s="14"/>
    </row>
    <row r="1430" spans="2:32" ht="13.5" hidden="1" customHeight="1">
      <c r="B1430" s="13"/>
      <c r="C1430" s="2"/>
      <c r="D1430" s="13"/>
      <c r="E1430" s="13"/>
      <c r="F1430" s="13"/>
      <c r="G1430" s="13"/>
      <c r="H1430" s="13"/>
      <c r="I1430" s="13"/>
      <c r="J1430" s="29"/>
      <c r="K1430" s="29"/>
      <c r="L1430" s="6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4"/>
      <c r="AF1430" s="14"/>
    </row>
    <row r="1431" spans="2:32" ht="13.5" hidden="1" customHeight="1">
      <c r="B1431" s="13"/>
      <c r="C1431" s="2"/>
      <c r="D1431" s="13"/>
      <c r="E1431" s="13"/>
      <c r="F1431" s="13"/>
      <c r="G1431" s="13"/>
      <c r="H1431" s="13"/>
      <c r="I1431" s="13"/>
      <c r="J1431" s="29"/>
      <c r="K1431" s="29"/>
      <c r="L1431" s="6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4"/>
      <c r="AF1431" s="14"/>
    </row>
    <row r="1432" spans="2:32" ht="13.5" hidden="1" customHeight="1">
      <c r="B1432" s="13"/>
      <c r="C1432" s="2"/>
      <c r="D1432" s="13"/>
      <c r="E1432" s="13"/>
      <c r="F1432" s="13"/>
      <c r="G1432" s="13"/>
      <c r="H1432" s="13"/>
      <c r="I1432" s="13"/>
      <c r="J1432" s="29"/>
      <c r="K1432" s="29"/>
      <c r="L1432" s="6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4"/>
      <c r="AF1432" s="14"/>
    </row>
    <row r="1433" spans="2:32" ht="13.5" hidden="1" customHeight="1">
      <c r="B1433" s="13"/>
      <c r="C1433" s="2"/>
      <c r="D1433" s="13"/>
      <c r="E1433" s="13"/>
      <c r="F1433" s="13"/>
      <c r="G1433" s="13"/>
      <c r="H1433" s="13"/>
      <c r="I1433" s="13"/>
      <c r="J1433" s="29"/>
      <c r="K1433" s="29"/>
      <c r="L1433" s="6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4"/>
      <c r="AF1433" s="14"/>
    </row>
    <row r="1434" spans="2:32" ht="13.5" hidden="1" customHeight="1">
      <c r="B1434" s="13"/>
      <c r="C1434" s="2"/>
      <c r="D1434" s="13"/>
      <c r="E1434" s="13"/>
      <c r="F1434" s="13"/>
      <c r="G1434" s="13"/>
      <c r="H1434" s="13"/>
      <c r="I1434" s="13"/>
      <c r="J1434" s="29"/>
      <c r="K1434" s="29"/>
      <c r="L1434" s="6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4"/>
      <c r="AF1434" s="14"/>
    </row>
    <row r="1435" spans="2:32" ht="13.5" hidden="1" customHeight="1">
      <c r="B1435" s="13"/>
      <c r="C1435" s="2"/>
      <c r="D1435" s="13"/>
      <c r="E1435" s="13"/>
      <c r="F1435" s="13"/>
      <c r="G1435" s="13"/>
      <c r="H1435" s="13"/>
      <c r="I1435" s="13"/>
      <c r="J1435" s="29"/>
      <c r="K1435" s="29"/>
      <c r="L1435" s="6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4"/>
      <c r="AF1435" s="14"/>
    </row>
    <row r="1436" spans="2:32" ht="13.5" hidden="1" customHeight="1">
      <c r="B1436" s="13"/>
      <c r="C1436" s="2"/>
      <c r="D1436" s="13"/>
      <c r="E1436" s="13"/>
      <c r="F1436" s="13"/>
      <c r="G1436" s="13"/>
      <c r="H1436" s="13"/>
      <c r="I1436" s="13"/>
      <c r="J1436" s="29"/>
      <c r="K1436" s="29"/>
      <c r="L1436" s="6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4"/>
      <c r="AF1436" s="14"/>
    </row>
    <row r="1437" spans="2:32" ht="13.5" hidden="1" customHeight="1">
      <c r="B1437" s="13"/>
      <c r="C1437" s="2"/>
      <c r="D1437" s="13"/>
      <c r="E1437" s="13"/>
      <c r="F1437" s="13"/>
      <c r="G1437" s="13"/>
      <c r="H1437" s="13"/>
      <c r="I1437" s="13"/>
      <c r="J1437" s="29"/>
      <c r="K1437" s="29"/>
      <c r="L1437" s="6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4"/>
      <c r="AF1437" s="14"/>
    </row>
    <row r="1438" spans="2:32" ht="13.5" hidden="1" customHeight="1">
      <c r="B1438" s="13"/>
      <c r="C1438" s="2"/>
      <c r="D1438" s="13"/>
      <c r="E1438" s="13"/>
      <c r="F1438" s="13"/>
      <c r="G1438" s="13"/>
      <c r="H1438" s="13"/>
      <c r="I1438" s="13"/>
      <c r="J1438" s="29"/>
      <c r="K1438" s="29"/>
      <c r="L1438" s="6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4"/>
      <c r="AF1438" s="14"/>
    </row>
    <row r="1439" spans="2:32" ht="13.5" hidden="1" customHeight="1">
      <c r="B1439" s="13"/>
      <c r="C1439" s="2"/>
      <c r="D1439" s="13"/>
      <c r="E1439" s="13"/>
      <c r="F1439" s="13"/>
      <c r="G1439" s="13"/>
      <c r="H1439" s="13"/>
      <c r="I1439" s="13"/>
      <c r="J1439" s="29"/>
      <c r="K1439" s="29"/>
      <c r="L1439" s="6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4"/>
      <c r="AF1439" s="14"/>
    </row>
    <row r="1440" spans="2:32" ht="13.5" hidden="1" customHeight="1">
      <c r="B1440" s="21"/>
      <c r="C1440" s="34"/>
      <c r="D1440" s="21"/>
      <c r="E1440" s="21"/>
      <c r="F1440" s="21"/>
      <c r="G1440" s="21"/>
      <c r="H1440" s="21"/>
      <c r="I1440" s="21"/>
      <c r="J1440" s="35"/>
      <c r="K1440" s="35"/>
      <c r="L1440" s="22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3"/>
      <c r="AF1440" s="14"/>
    </row>
    <row r="1441" spans="2:32" ht="13.5" hidden="1" customHeight="1"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4"/>
    </row>
    <row r="1442" spans="2:32" ht="13.5" hidden="1" customHeight="1"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4"/>
    </row>
    <row r="1443" spans="2:32" ht="13.5" hidden="1" customHeight="1"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4"/>
    </row>
    <row r="1444" spans="2:32" ht="13.5" hidden="1" customHeight="1"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4"/>
    </row>
    <row r="1445" spans="2:32" ht="13.5" hidden="1" customHeight="1"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4"/>
    </row>
    <row r="1446" spans="2:32" ht="13.5" hidden="1" customHeight="1"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4"/>
    </row>
    <row r="1447" spans="2:32" ht="13.5" hidden="1" customHeight="1"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4"/>
    </row>
    <row r="1448" spans="2:32" ht="13.5" hidden="1" customHeight="1"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4"/>
    </row>
    <row r="1449" spans="2:32" ht="13.5" hidden="1" customHeight="1"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4"/>
    </row>
    <row r="1450" spans="2:32" ht="13.5" hidden="1" customHeight="1"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4"/>
    </row>
    <row r="1451" spans="2:32" ht="13.5" hidden="1" customHeight="1"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4"/>
    </row>
    <row r="1452" spans="2:32" ht="13.5" hidden="1" customHeight="1"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4"/>
    </row>
    <row r="1453" spans="2:32" ht="13.5" hidden="1" customHeight="1"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4"/>
    </row>
    <row r="1454" spans="2:32" ht="13.5" hidden="1" customHeight="1"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4"/>
    </row>
    <row r="1455" spans="2:32" ht="13.5" hidden="1" customHeight="1"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4"/>
    </row>
    <row r="1456" spans="2:32" ht="13.5" hidden="1" customHeight="1"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4"/>
    </row>
    <row r="1457" spans="2:32" ht="13.5" hidden="1" customHeight="1"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4"/>
    </row>
    <row r="1458" spans="2:32" ht="13.5" hidden="1" customHeight="1"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4"/>
    </row>
    <row r="1459" spans="2:32" ht="13.5" hidden="1" customHeight="1"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4"/>
    </row>
    <row r="1460" spans="2:32" ht="13.5" hidden="1" customHeight="1"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4"/>
    </row>
    <row r="1461" spans="2:32" ht="13.5" hidden="1" customHeight="1"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4"/>
    </row>
    <row r="1462" spans="2:32" ht="13.5" hidden="1" customHeight="1"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4"/>
    </row>
    <row r="1463" spans="2:32" ht="13.5" hidden="1" customHeight="1"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4"/>
    </row>
    <row r="1464" spans="2:32" ht="13.5" hidden="1" customHeight="1"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4"/>
    </row>
    <row r="1465" spans="2:32" ht="13.5" hidden="1" customHeight="1"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4"/>
    </row>
    <row r="1466" spans="2:32" ht="13.5" hidden="1" customHeight="1"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4"/>
    </row>
    <row r="1467" spans="2:32" ht="13.5" hidden="1" customHeight="1"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4"/>
    </row>
    <row r="1468" spans="2:32" ht="13.5" hidden="1" customHeight="1"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4"/>
    </row>
    <row r="1469" spans="2:32" ht="13.5" hidden="1" customHeight="1"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4"/>
    </row>
    <row r="1470" spans="2:32" ht="13.5" hidden="1" customHeight="1"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4"/>
    </row>
    <row r="1471" spans="2:32" ht="13.5" hidden="1" customHeight="1"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4"/>
    </row>
    <row r="1472" spans="2:32" ht="13.5" hidden="1" customHeight="1"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4"/>
    </row>
    <row r="1473" spans="2:32" ht="13.5" hidden="1" customHeight="1"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4"/>
    </row>
    <row r="1474" spans="2:32" ht="13.5" hidden="1" customHeight="1"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4"/>
    </row>
    <row r="1475" spans="2:32" ht="13.5" hidden="1" customHeight="1"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4"/>
    </row>
    <row r="1476" spans="2:32" ht="13.5" hidden="1" customHeight="1"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4"/>
    </row>
    <row r="1477" spans="2:32" ht="13.5" hidden="1" customHeight="1"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4"/>
    </row>
    <row r="1478" spans="2:32" ht="13.5" hidden="1" customHeight="1"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4"/>
    </row>
    <row r="1479" spans="2:32" ht="13.5" hidden="1" customHeight="1"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4"/>
    </row>
    <row r="1480" spans="2:32" ht="13.5" hidden="1" customHeight="1"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4"/>
    </row>
    <row r="1481" spans="2:32" ht="13.5" hidden="1" customHeight="1"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4"/>
    </row>
    <row r="1482" spans="2:32" ht="13.5" hidden="1" customHeight="1"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4"/>
    </row>
    <row r="1483" spans="2:32" ht="13.5" hidden="1" customHeight="1"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4"/>
    </row>
    <row r="1484" spans="2:32" ht="13.5" hidden="1" customHeight="1"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4"/>
    </row>
    <row r="1485" spans="2:32" ht="13.5" hidden="1" customHeight="1"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4"/>
    </row>
    <row r="1486" spans="2:32" ht="13.5" hidden="1" customHeight="1"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4"/>
    </row>
    <row r="1487" spans="2:32" ht="13.5" hidden="1" customHeight="1"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4"/>
    </row>
    <row r="1488" spans="2:32" ht="13.5" hidden="1" customHeight="1"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4"/>
    </row>
    <row r="1489" spans="2:32" ht="13.5" hidden="1" customHeight="1"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4"/>
    </row>
    <row r="1490" spans="2:32" ht="13.5" hidden="1" customHeight="1"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4"/>
    </row>
    <row r="1491" spans="2:32" ht="13.5" hidden="1" customHeight="1"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4"/>
    </row>
    <row r="1492" spans="2:32" ht="13.5" hidden="1" customHeight="1"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4"/>
    </row>
    <row r="1493" spans="2:32" ht="13.5" hidden="1" customHeight="1"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4"/>
    </row>
    <row r="1494" spans="2:32" ht="13.5" hidden="1" customHeight="1"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4"/>
    </row>
    <row r="1495" spans="2:32" ht="13.5" hidden="1" customHeight="1"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4"/>
    </row>
    <row r="1496" spans="2:32" ht="13.5" hidden="1" customHeight="1"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4"/>
    </row>
    <row r="1497" spans="2:32" ht="13.5" hidden="1" customHeight="1"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4"/>
    </row>
    <row r="1498" spans="2:32" ht="13.5" hidden="1" customHeight="1"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4"/>
    </row>
    <row r="1499" spans="2:32" ht="13.5" hidden="1" customHeight="1"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4"/>
    </row>
    <row r="1500" spans="2:32" ht="13.5" hidden="1" customHeight="1"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4"/>
    </row>
    <row r="1501" spans="2:32" ht="13.5" hidden="1" customHeight="1"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4"/>
    </row>
    <row r="1502" spans="2:32" ht="13.5" hidden="1" customHeight="1"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4"/>
    </row>
    <row r="1503" spans="2:32" ht="13.5" hidden="1" customHeight="1"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4"/>
    </row>
    <row r="1504" spans="2:32" ht="13.5" hidden="1" customHeight="1"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4"/>
    </row>
    <row r="1505" spans="2:32" ht="13.5" hidden="1" customHeight="1"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4"/>
    </row>
    <row r="1506" spans="2:32" ht="13.5" hidden="1" customHeight="1"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4"/>
    </row>
    <row r="1507" spans="2:32" ht="13.5" hidden="1" customHeight="1"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4"/>
    </row>
    <row r="1508" spans="2:32" ht="13.5" hidden="1" customHeight="1"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4"/>
    </row>
    <row r="1509" spans="2:32" ht="13.5" hidden="1" customHeight="1"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4"/>
    </row>
    <row r="1510" spans="2:32" ht="13.5" hidden="1" customHeight="1"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4"/>
    </row>
    <row r="1511" spans="2:32" ht="13.5" hidden="1" customHeight="1"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4"/>
    </row>
    <row r="1512" spans="2:32" ht="13.5" hidden="1" customHeight="1"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4"/>
    </row>
    <row r="1513" spans="2:32" ht="13.5" hidden="1" customHeight="1"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4"/>
    </row>
    <row r="1514" spans="2:32" ht="13.5" hidden="1" customHeight="1"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4"/>
    </row>
    <row r="1515" spans="2:32" ht="13.5" hidden="1" customHeight="1"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4"/>
    </row>
    <row r="1516" spans="2:32" ht="13.5" hidden="1" customHeight="1"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4"/>
    </row>
    <row r="1517" spans="2:32" ht="13.5" hidden="1" customHeight="1"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4"/>
    </row>
    <row r="1518" spans="2:32" ht="13.5" hidden="1" customHeight="1"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4"/>
    </row>
    <row r="1519" spans="2:32" ht="13.5" hidden="1" customHeight="1"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4"/>
    </row>
    <row r="1520" spans="2:32" ht="13.5" hidden="1" customHeight="1"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4"/>
    </row>
    <row r="1521" spans="2:32" ht="13.5" hidden="1" customHeight="1"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4"/>
    </row>
    <row r="1522" spans="2:32" ht="13.5" hidden="1" customHeight="1"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4"/>
    </row>
    <row r="1523" spans="2:32" ht="13.5" hidden="1" customHeight="1"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4"/>
    </row>
    <row r="1524" spans="2:32" ht="13.5" hidden="1" customHeight="1"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4"/>
    </row>
    <row r="1525" spans="2:32" ht="13.5" hidden="1" customHeight="1"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4"/>
    </row>
    <row r="1526" spans="2:32" ht="13.5" hidden="1" customHeight="1"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4"/>
    </row>
    <row r="1527" spans="2:32" ht="13.5" hidden="1" customHeight="1"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4"/>
    </row>
    <row r="1528" spans="2:32" ht="13.5" hidden="1" customHeight="1"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4"/>
    </row>
    <row r="1529" spans="2:32" ht="13.5" hidden="1" customHeight="1"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4"/>
    </row>
    <row r="1530" spans="2:32" ht="13.5" hidden="1" customHeight="1"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4"/>
    </row>
    <row r="1531" spans="2:32" ht="13.5" hidden="1" customHeight="1"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4"/>
    </row>
    <row r="1532" spans="2:32" ht="13.5" hidden="1" customHeight="1"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4"/>
    </row>
    <row r="1533" spans="2:32" ht="13.5" hidden="1" customHeight="1"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4"/>
    </row>
    <row r="1534" spans="2:32" ht="13.5" hidden="1" customHeight="1"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4"/>
    </row>
    <row r="1535" spans="2:32" ht="13.5" hidden="1" customHeight="1"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4"/>
    </row>
    <row r="1536" spans="2:32" ht="13.5" hidden="1" customHeight="1"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4"/>
    </row>
    <row r="1537" spans="2:32" ht="13.5" hidden="1" customHeight="1"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4"/>
    </row>
    <row r="1538" spans="2:32" ht="13.5" hidden="1" customHeight="1"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4"/>
    </row>
    <row r="1539" spans="2:32" ht="13.5" hidden="1" customHeight="1"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4"/>
    </row>
    <row r="1540" spans="2:32" ht="13.5" hidden="1" customHeight="1"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4"/>
    </row>
    <row r="1541" spans="2:32" ht="13.5" hidden="1" customHeight="1"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4"/>
    </row>
    <row r="1542" spans="2:32" ht="13.5" hidden="1" customHeight="1"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4"/>
    </row>
    <row r="1543" spans="2:32" ht="13.5" hidden="1" customHeight="1"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4"/>
    </row>
    <row r="1544" spans="2:32" ht="13.5" hidden="1" customHeight="1"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4"/>
    </row>
    <row r="1545" spans="2:32" ht="13.5" hidden="1" customHeight="1"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4"/>
    </row>
    <row r="1546" spans="2:32" ht="13.5" hidden="1" customHeight="1"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4"/>
    </row>
    <row r="1547" spans="2:32" ht="13.5" hidden="1" customHeight="1"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4"/>
    </row>
    <row r="1548" spans="2:32" ht="13.5" hidden="1" customHeight="1"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4"/>
    </row>
    <row r="1549" spans="2:32" ht="13.5" hidden="1" customHeight="1"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4"/>
    </row>
    <row r="1550" spans="2:32" ht="13.5" hidden="1" customHeight="1"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4"/>
    </row>
    <row r="1551" spans="2:32" ht="13.5" hidden="1" customHeight="1"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4"/>
    </row>
    <row r="1552" spans="2:32" ht="13.5" hidden="1" customHeight="1"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4"/>
    </row>
    <row r="1553" spans="2:32" ht="13.5" hidden="1" customHeight="1"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4"/>
    </row>
    <row r="1554" spans="2:32" ht="13.5" hidden="1" customHeight="1"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4"/>
    </row>
    <row r="1555" spans="2:32" ht="13.5" hidden="1" customHeight="1"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4"/>
    </row>
    <row r="1556" spans="2:32" ht="13.5" hidden="1" customHeight="1"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4"/>
    </row>
    <row r="1557" spans="2:32" ht="13.5" hidden="1" customHeight="1"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4"/>
    </row>
    <row r="1558" spans="2:32" ht="13.5" hidden="1" customHeight="1"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4"/>
    </row>
    <row r="1559" spans="2:32" ht="13.5" hidden="1" customHeight="1"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4"/>
    </row>
    <row r="1560" spans="2:32" ht="13.5" hidden="1" customHeight="1"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4"/>
    </row>
    <row r="1561" spans="2:32" ht="13.5" hidden="1" customHeight="1"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4"/>
    </row>
    <row r="1562" spans="2:32" ht="13.5" hidden="1" customHeight="1"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4"/>
    </row>
    <row r="1563" spans="2:32" ht="13.5" hidden="1" customHeight="1"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4"/>
    </row>
    <row r="1564" spans="2:32" ht="13.5" hidden="1" customHeight="1"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4"/>
    </row>
    <row r="1565" spans="2:32" ht="13.5" hidden="1" customHeight="1"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4"/>
    </row>
    <row r="1566" spans="2:32" ht="13.5" hidden="1" customHeight="1"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4"/>
    </row>
    <row r="1567" spans="2:32" ht="13.5" hidden="1" customHeight="1"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4"/>
    </row>
    <row r="1568" spans="2:32" ht="13.5" hidden="1" customHeight="1"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4"/>
    </row>
    <row r="1569" spans="2:32" ht="13.5" hidden="1" customHeight="1"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4"/>
    </row>
    <row r="1570" spans="2:32" ht="13.5" hidden="1" customHeight="1"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4"/>
    </row>
    <row r="1571" spans="2:32" ht="13.5" hidden="1" customHeight="1"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4"/>
    </row>
    <row r="1572" spans="2:32" ht="13.5" hidden="1" customHeight="1"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4"/>
    </row>
    <row r="1573" spans="2:32" ht="13.5" hidden="1" customHeight="1"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4"/>
    </row>
    <row r="1574" spans="2:32" ht="13.5" hidden="1" customHeight="1"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4"/>
    </row>
    <row r="1575" spans="2:32" ht="13.5" hidden="1" customHeight="1"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4"/>
    </row>
    <row r="1576" spans="2:32" ht="13.5" hidden="1" customHeight="1"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4"/>
    </row>
    <row r="1577" spans="2:32" ht="13.5" hidden="1" customHeight="1"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4"/>
    </row>
    <row r="1578" spans="2:32" ht="13.5" hidden="1" customHeight="1"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4"/>
    </row>
    <row r="1579" spans="2:32" ht="13.5" hidden="1" customHeight="1"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4"/>
    </row>
    <row r="1580" spans="2:32" ht="13.5" hidden="1" customHeight="1"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4"/>
    </row>
    <row r="1581" spans="2:32" ht="13.5" hidden="1" customHeight="1"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4"/>
    </row>
    <row r="1582" spans="2:32" ht="13.5" hidden="1" customHeight="1"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4"/>
    </row>
    <row r="1583" spans="2:32" ht="13.5" hidden="1" customHeight="1"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4"/>
    </row>
    <row r="1584" spans="2:32" ht="13.5" hidden="1" customHeight="1"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4"/>
    </row>
    <row r="1585" spans="2:32" ht="13.5" hidden="1" customHeight="1"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4"/>
    </row>
    <row r="1586" spans="2:32" ht="13.5" hidden="1" customHeight="1"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4"/>
    </row>
    <row r="1587" spans="2:32" ht="13.5" hidden="1" customHeight="1"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4"/>
    </row>
    <row r="1588" spans="2:32" ht="13.5" hidden="1" customHeight="1"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4"/>
    </row>
    <row r="1589" spans="2:32" ht="13.5" hidden="1" customHeight="1"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4"/>
    </row>
    <row r="1590" spans="2:32" ht="13.5" hidden="1" customHeight="1"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4"/>
    </row>
    <row r="1591" spans="2:32" ht="13.5" hidden="1" customHeight="1"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4"/>
    </row>
    <row r="1592" spans="2:32" ht="13.5" hidden="1" customHeight="1"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4"/>
    </row>
    <row r="1593" spans="2:32" ht="13.5" hidden="1" customHeight="1"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4"/>
    </row>
    <row r="1594" spans="2:32" ht="13.5" hidden="1" customHeight="1"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4"/>
    </row>
    <row r="1595" spans="2:32" ht="13.5" hidden="1" customHeight="1"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4"/>
    </row>
    <row r="1596" spans="2:32" ht="13.5" hidden="1" customHeight="1"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4"/>
    </row>
    <row r="1597" spans="2:32" ht="13.5" hidden="1" customHeight="1"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4"/>
    </row>
    <row r="1598" spans="2:32" ht="13.5" hidden="1" customHeight="1"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4"/>
    </row>
    <row r="1599" spans="2:32" ht="13.5" hidden="1" customHeight="1"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4"/>
    </row>
    <row r="1600" spans="2:32" ht="13.5" hidden="1" customHeight="1"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4"/>
    </row>
    <row r="1601" spans="2:32" ht="13.5" hidden="1" customHeight="1"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4"/>
    </row>
    <row r="1602" spans="2:32" ht="13.5" hidden="1" customHeight="1"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4"/>
    </row>
    <row r="1603" spans="2:32" ht="13.5" hidden="1" customHeight="1"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4"/>
    </row>
    <row r="1604" spans="2:32" ht="13.5" hidden="1" customHeight="1"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4"/>
    </row>
    <row r="1605" spans="2:32" ht="13.5" hidden="1" customHeight="1"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4"/>
    </row>
    <row r="1606" spans="2:32" ht="13.5" hidden="1" customHeight="1"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4"/>
    </row>
    <row r="1607" spans="2:32" ht="13.5" hidden="1" customHeight="1"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4"/>
    </row>
    <row r="1608" spans="2:32" ht="13.5" hidden="1" customHeight="1"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4"/>
    </row>
    <row r="1609" spans="2:32" ht="13.5" hidden="1" customHeight="1"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4"/>
    </row>
    <row r="1610" spans="2:32" ht="13.5" hidden="1" customHeight="1"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4"/>
    </row>
    <row r="1611" spans="2:32" ht="13.5" hidden="1" customHeight="1"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4"/>
    </row>
    <row r="1612" spans="2:32" ht="13.5" hidden="1" customHeight="1"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4"/>
    </row>
    <row r="1613" spans="2:32" ht="13.5" hidden="1" customHeight="1"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4"/>
    </row>
    <row r="1614" spans="2:32" ht="13.5" hidden="1" customHeight="1"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4"/>
    </row>
    <row r="1615" spans="2:32" ht="13.5" hidden="1" customHeight="1"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4"/>
    </row>
    <row r="1616" spans="2:32" ht="13.5" hidden="1" customHeight="1"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4"/>
    </row>
    <row r="1617" spans="2:32" ht="13.5" hidden="1" customHeight="1"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4"/>
    </row>
    <row r="1618" spans="2:32" ht="13.5" hidden="1" customHeight="1"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4"/>
    </row>
    <row r="1619" spans="2:32" ht="13.5" hidden="1" customHeight="1"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4"/>
    </row>
    <row r="1620" spans="2:32" ht="13.5" hidden="1" customHeight="1"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4"/>
    </row>
    <row r="1621" spans="2:32" ht="13.5" hidden="1" customHeight="1"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4"/>
    </row>
    <row r="1622" spans="2:32" ht="13.5" hidden="1" customHeight="1"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4"/>
    </row>
    <row r="1623" spans="2:32" ht="13.5" hidden="1" customHeight="1"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4"/>
    </row>
    <row r="1624" spans="2:32" ht="13.5" hidden="1" customHeight="1"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4"/>
    </row>
    <row r="1625" spans="2:32" ht="13.5" hidden="1" customHeight="1"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4"/>
    </row>
    <row r="1626" spans="2:32" ht="13.5" hidden="1" customHeight="1"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4"/>
    </row>
    <row r="1627" spans="2:32" ht="13.5" hidden="1" customHeight="1"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4"/>
    </row>
    <row r="1628" spans="2:32" ht="13.5" hidden="1" customHeight="1"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4"/>
    </row>
    <row r="1629" spans="2:32" ht="13.5" hidden="1" customHeight="1"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4"/>
    </row>
    <row r="1630" spans="2:32" ht="13.5" hidden="1" customHeight="1"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4"/>
    </row>
    <row r="1631" spans="2:32" ht="13.5" hidden="1" customHeight="1"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4"/>
    </row>
    <row r="1632" spans="2:32" ht="13.5" hidden="1" customHeight="1"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4"/>
    </row>
    <row r="1633" spans="2:32" ht="13.5" hidden="1" customHeight="1"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4"/>
    </row>
    <row r="1634" spans="2:32" ht="13.5" hidden="1" customHeight="1"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4"/>
    </row>
    <row r="1635" spans="2:32" ht="13.5" hidden="1" customHeight="1"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4"/>
    </row>
    <row r="1636" spans="2:32" ht="13.5" hidden="1" customHeight="1"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4"/>
    </row>
    <row r="1637" spans="2:32" ht="13.5" hidden="1" customHeight="1"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4"/>
    </row>
    <row r="1638" spans="2:32" ht="13.5" hidden="1" customHeight="1"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4"/>
    </row>
    <row r="1639" spans="2:32" ht="13.5" hidden="1" customHeight="1"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4"/>
    </row>
    <row r="1640" spans="2:32" ht="13.5" hidden="1" customHeight="1"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4"/>
    </row>
    <row r="1641" spans="2:32" ht="13.5" hidden="1" customHeight="1"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4"/>
    </row>
    <row r="1642" spans="2:32" ht="13.5" hidden="1" customHeight="1"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4"/>
    </row>
    <row r="1643" spans="2:32" ht="13.5" hidden="1" customHeight="1"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4"/>
    </row>
    <row r="1644" spans="2:32" ht="13.5" hidden="1" customHeight="1"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4"/>
    </row>
    <row r="1645" spans="2:32" ht="13.5" hidden="1" customHeight="1"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4"/>
    </row>
    <row r="1646" spans="2:32" ht="13.5" hidden="1" customHeight="1"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4"/>
    </row>
    <row r="1647" spans="2:32" ht="13.5" hidden="1" customHeight="1"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4"/>
    </row>
    <row r="1648" spans="2:32" ht="13.5" hidden="1" customHeight="1"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4"/>
    </row>
    <row r="1649" spans="2:32" ht="13.5" hidden="1" customHeight="1"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4"/>
    </row>
    <row r="1650" spans="2:32" ht="13.5" hidden="1" customHeight="1"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4"/>
    </row>
    <row r="1651" spans="2:32" ht="13.5" hidden="1" customHeight="1"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4"/>
    </row>
    <row r="1652" spans="2:32" ht="13.5" hidden="1" customHeight="1"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4"/>
    </row>
    <row r="1653" spans="2:32" ht="13.5" hidden="1" customHeight="1"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4"/>
    </row>
    <row r="1654" spans="2:32" ht="13.5" hidden="1" customHeight="1"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4"/>
    </row>
    <row r="1655" spans="2:32" ht="13.5" hidden="1" customHeight="1"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4"/>
    </row>
    <row r="1656" spans="2:32" ht="13.5" hidden="1" customHeight="1"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4"/>
    </row>
    <row r="1657" spans="2:32" ht="13.5" hidden="1" customHeight="1"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4"/>
    </row>
    <row r="1658" spans="2:32" ht="13.5" hidden="1" customHeight="1"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4"/>
    </row>
    <row r="1659" spans="2:32" ht="13.5" hidden="1" customHeight="1"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4"/>
    </row>
    <row r="1660" spans="2:32" ht="13.5" hidden="1" customHeight="1"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4"/>
    </row>
    <row r="1661" spans="2:32" ht="13.5" hidden="1" customHeight="1"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4"/>
    </row>
    <row r="1662" spans="2:32" ht="13.5" hidden="1" customHeight="1"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4"/>
    </row>
    <row r="1663" spans="2:32" ht="13.5" hidden="1" customHeight="1"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4"/>
    </row>
    <row r="1664" spans="2:32" ht="13.5" hidden="1" customHeight="1"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4"/>
    </row>
    <row r="1665" spans="2:32" ht="13.5" hidden="1" customHeight="1"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4"/>
    </row>
    <row r="1666" spans="2:32" ht="13.5" hidden="1" customHeight="1"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4"/>
    </row>
    <row r="1667" spans="2:32" ht="13.5" hidden="1" customHeight="1"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4"/>
    </row>
    <row r="1668" spans="2:32" ht="13.5" hidden="1" customHeight="1"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4"/>
    </row>
    <row r="1669" spans="2:32" ht="13.5" hidden="1" customHeight="1"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4"/>
    </row>
    <row r="1670" spans="2:32" ht="13.5" hidden="1" customHeight="1"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4"/>
    </row>
    <row r="1671" spans="2:32" ht="13.5" hidden="1" customHeight="1"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4"/>
    </row>
    <row r="1672" spans="2:32" ht="13.5" hidden="1" customHeight="1"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4"/>
    </row>
    <row r="1673" spans="2:32" ht="13.5" hidden="1" customHeight="1"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4"/>
    </row>
    <row r="1674" spans="2:32" ht="13.5" hidden="1" customHeight="1"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4"/>
    </row>
    <row r="1675" spans="2:32" ht="13.5" hidden="1" customHeight="1"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4"/>
    </row>
    <row r="1676" spans="2:32" ht="13.5" hidden="1" customHeight="1"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4"/>
    </row>
    <row r="1677" spans="2:32" ht="13.5" hidden="1" customHeight="1"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4"/>
    </row>
    <row r="1678" spans="2:32" ht="13.5" hidden="1" customHeight="1"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4"/>
    </row>
    <row r="1679" spans="2:32" ht="13.5" hidden="1" customHeight="1"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4"/>
    </row>
    <row r="1680" spans="2:32" ht="13.5" hidden="1" customHeight="1"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4"/>
    </row>
    <row r="1681" spans="2:32" ht="13.5" hidden="1" customHeight="1"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4"/>
    </row>
    <row r="1682" spans="2:32" ht="13.5" hidden="1" customHeight="1"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4"/>
    </row>
    <row r="1683" spans="2:32" ht="13.5" hidden="1" customHeight="1"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4"/>
    </row>
    <row r="1684" spans="2:32" ht="13.5" hidden="1" customHeight="1"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4"/>
    </row>
    <row r="1685" spans="2:32" ht="13.5" hidden="1" customHeight="1"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4"/>
    </row>
    <row r="1686" spans="2:32" ht="13.5" hidden="1" customHeight="1"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4"/>
    </row>
    <row r="1687" spans="2:32" ht="13.5" hidden="1" customHeight="1"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4"/>
    </row>
    <row r="1688" spans="2:32" ht="13.5" hidden="1" customHeight="1"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4"/>
    </row>
    <row r="1689" spans="2:32" ht="13.5" hidden="1" customHeight="1"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4"/>
    </row>
    <row r="1690" spans="2:32" ht="13.5" hidden="1" customHeight="1"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4"/>
    </row>
    <row r="1691" spans="2:32" ht="13.5" hidden="1" customHeight="1"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4"/>
    </row>
    <row r="1692" spans="2:32" ht="13.5" hidden="1" customHeight="1"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4"/>
    </row>
    <row r="1693" spans="2:32" ht="13.5" hidden="1" customHeight="1"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4"/>
    </row>
    <row r="1694" spans="2:32" ht="13.5" hidden="1" customHeight="1"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4"/>
    </row>
    <row r="1695" spans="2:32" ht="13.5" hidden="1" customHeight="1"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4"/>
    </row>
    <row r="1696" spans="2:32" ht="13.5" hidden="1" customHeight="1"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4"/>
    </row>
    <row r="1697" spans="2:32" ht="13.5" hidden="1" customHeight="1"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4"/>
    </row>
    <row r="1698" spans="2:32" ht="13.5" hidden="1" customHeight="1"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4"/>
    </row>
    <row r="1699" spans="2:32" ht="13.5" hidden="1" customHeight="1"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4"/>
    </row>
    <row r="1700" spans="2:32" ht="13.5" hidden="1" customHeight="1"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4"/>
    </row>
    <row r="1701" spans="2:32" ht="13.5" hidden="1" customHeight="1"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4"/>
    </row>
    <row r="1702" spans="2:32" ht="13.5" hidden="1" customHeight="1"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4"/>
    </row>
    <row r="1703" spans="2:32" ht="13.5" hidden="1" customHeight="1"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4"/>
    </row>
    <row r="1704" spans="2:32" ht="13.5" hidden="1" customHeight="1"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4"/>
    </row>
    <row r="1705" spans="2:32" ht="13.5" hidden="1" customHeight="1"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4"/>
    </row>
    <row r="1706" spans="2:32" ht="13.5" hidden="1" customHeight="1"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4"/>
    </row>
    <row r="1707" spans="2:32" ht="13.5" hidden="1" customHeight="1"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4"/>
    </row>
    <row r="1708" spans="2:32" ht="13.5" hidden="1" customHeight="1"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4"/>
    </row>
    <row r="1709" spans="2:32" ht="13.5" hidden="1" customHeight="1"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4"/>
    </row>
    <row r="1710" spans="2:32" ht="13.5" hidden="1" customHeight="1"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4"/>
    </row>
    <row r="1711" spans="2:32" ht="13.5" hidden="1" customHeight="1"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4"/>
    </row>
    <row r="1712" spans="2:32" ht="13.5" hidden="1" customHeight="1"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4"/>
    </row>
    <row r="1713" spans="2:32" ht="13.5" hidden="1" customHeight="1"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4"/>
    </row>
    <row r="1714" spans="2:32" ht="13.5" hidden="1" customHeight="1"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4"/>
    </row>
    <row r="1715" spans="2:32" ht="13.5" hidden="1" customHeight="1"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4"/>
    </row>
    <row r="1716" spans="2:32" ht="13.5" hidden="1" customHeight="1"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4"/>
    </row>
    <row r="1717" spans="2:32" ht="13.5" hidden="1" customHeight="1"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4"/>
    </row>
    <row r="1718" spans="2:32" ht="13.5" hidden="1" customHeight="1"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4"/>
    </row>
    <row r="1719" spans="2:32" ht="13.5" hidden="1" customHeight="1"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4"/>
    </row>
    <row r="1720" spans="2:32" ht="13.5" hidden="1" customHeight="1"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4"/>
    </row>
    <row r="1721" spans="2:32" ht="13.5" hidden="1" customHeight="1"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4"/>
    </row>
    <row r="1722" spans="2:32" ht="13.5" hidden="1" customHeight="1"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4"/>
    </row>
    <row r="1723" spans="2:32" ht="13.5" hidden="1" customHeight="1"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4"/>
    </row>
    <row r="1724" spans="2:32" ht="13.5" hidden="1" customHeight="1"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4"/>
    </row>
    <row r="1725" spans="2:32" ht="13.5" hidden="1" customHeight="1"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4"/>
    </row>
    <row r="1726" spans="2:32" ht="13.5" hidden="1" customHeight="1"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4"/>
    </row>
    <row r="1727" spans="2:32" ht="13.5" hidden="1" customHeight="1"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4"/>
    </row>
    <row r="1728" spans="2:32" ht="13.5" hidden="1" customHeight="1"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4"/>
    </row>
    <row r="1729" spans="2:32" ht="13.5" hidden="1" customHeight="1"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4"/>
    </row>
    <row r="1730" spans="2:32" ht="13.5" hidden="1" customHeight="1"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4"/>
    </row>
    <row r="1731" spans="2:32" ht="13.5" hidden="1" customHeight="1"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4"/>
    </row>
    <row r="1732" spans="2:32" ht="13.5" hidden="1" customHeight="1"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4"/>
    </row>
    <row r="1733" spans="2:32" ht="13.5" hidden="1" customHeight="1"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4"/>
    </row>
    <row r="1734" spans="2:32" ht="13.5" hidden="1" customHeight="1"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4"/>
    </row>
    <row r="1735" spans="2:32" ht="13.5" hidden="1" customHeight="1"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4"/>
    </row>
    <row r="1736" spans="2:32" ht="13.5" hidden="1" customHeight="1"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4"/>
    </row>
    <row r="1737" spans="2:32" ht="13.5" hidden="1" customHeight="1"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4"/>
    </row>
    <row r="1738" spans="2:32" ht="13.5" hidden="1" customHeight="1"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4"/>
    </row>
    <row r="1739" spans="2:32" ht="13.5" hidden="1" customHeight="1"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4"/>
    </row>
    <row r="1740" spans="2:32" ht="13.5" hidden="1" customHeight="1"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4"/>
    </row>
    <row r="1741" spans="2:32" ht="13.5" hidden="1" customHeight="1"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4"/>
    </row>
    <row r="1742" spans="2:32" ht="13.5" hidden="1" customHeight="1"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4"/>
    </row>
    <row r="1743" spans="2:32" ht="13.5" hidden="1" customHeight="1"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4"/>
    </row>
    <row r="1744" spans="2:32" ht="13.5" hidden="1" customHeight="1"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4"/>
    </row>
    <row r="1745" spans="2:32" ht="13.5" hidden="1" customHeight="1"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4"/>
    </row>
    <row r="1746" spans="2:32" ht="13.5" hidden="1" customHeight="1"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4"/>
    </row>
    <row r="1747" spans="2:32" ht="13.5" hidden="1" customHeight="1"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4"/>
    </row>
  </sheetData>
  <dataConsolidate/>
  <customSheetViews>
    <customSheetView guid="{DAD417EB-852B-48F4-BCCD-C6352C885713}" scale="145" showPageBreaks="1" zeroValues="0" printArea="1" hiddenRows="1" hiddenColumns="1" view="pageBreakPreview" topLeftCell="A97">
      <selection activeCell="Q115" sqref="Q115"/>
      <rowBreaks count="2" manualBreakCount="2">
        <brk id="55" max="32" man="1"/>
        <brk id="103" max="32" man="1"/>
      </rowBreaks>
      <pageMargins left="0.75" right="0" top="0.5" bottom="0.9" header="0.71799999999999997" footer="0.5"/>
      <pageSetup paperSize="9" orientation="portrait" r:id="rId1"/>
      <headerFooter alignWithMargins="0">
        <oddFooter>&amp;Lbmr/sr.electrical design engineer/file&amp;C&amp;"Times New Roman,Regular"EE - &amp;P&amp;R&amp;D   &amp;T</oddFooter>
      </headerFooter>
    </customSheetView>
  </customSheetViews>
  <mergeCells count="1407">
    <mergeCell ref="N95:P95"/>
    <mergeCell ref="Q95:S95"/>
    <mergeCell ref="X91:AC94"/>
    <mergeCell ref="AD91:AF94"/>
    <mergeCell ref="L93:M93"/>
    <mergeCell ref="G94:K94"/>
    <mergeCell ref="L94:M94"/>
    <mergeCell ref="V91:W94"/>
    <mergeCell ref="N90:P90"/>
    <mergeCell ref="B91:E94"/>
    <mergeCell ref="G91:M91"/>
    <mergeCell ref="N91:P94"/>
    <mergeCell ref="Q91:S94"/>
    <mergeCell ref="T91:U94"/>
    <mergeCell ref="F92:F93"/>
    <mergeCell ref="G92:K92"/>
    <mergeCell ref="L92:M92"/>
    <mergeCell ref="G93:K93"/>
    <mergeCell ref="G3:T3"/>
    <mergeCell ref="G4:K4"/>
    <mergeCell ref="G5:K5"/>
    <mergeCell ref="D6:G6"/>
    <mergeCell ref="G21:N21"/>
    <mergeCell ref="T29:Y29"/>
    <mergeCell ref="Q28:S29"/>
    <mergeCell ref="N61:P64"/>
    <mergeCell ref="Q61:S64"/>
    <mergeCell ref="V61:W64"/>
    <mergeCell ref="T61:U64"/>
    <mergeCell ref="V60:W60"/>
    <mergeCell ref="B58:AF58"/>
    <mergeCell ref="B59:AF59"/>
    <mergeCell ref="W39:Z39"/>
    <mergeCell ref="AD66:AF70"/>
    <mergeCell ref="AD61:AF64"/>
    <mergeCell ref="J25:U25"/>
    <mergeCell ref="W40:AE41"/>
    <mergeCell ref="Q40:S41"/>
    <mergeCell ref="T40:V41"/>
    <mergeCell ref="H36:I36"/>
    <mergeCell ref="Q36:S37"/>
    <mergeCell ref="T37:Z37"/>
    <mergeCell ref="T36:Y36"/>
    <mergeCell ref="T60:U60"/>
    <mergeCell ref="V66:W70"/>
    <mergeCell ref="G62:K62"/>
    <mergeCell ref="H28:I29"/>
    <mergeCell ref="B81:E84"/>
    <mergeCell ref="G76:M76"/>
    <mergeCell ref="L84:M84"/>
    <mergeCell ref="G81:M81"/>
    <mergeCell ref="T76:U79"/>
    <mergeCell ref="T81:U84"/>
    <mergeCell ref="L82:M82"/>
    <mergeCell ref="L83:M83"/>
    <mergeCell ref="B76:E79"/>
    <mergeCell ref="F62:F63"/>
    <mergeCell ref="F68:F69"/>
    <mergeCell ref="L78:M78"/>
    <mergeCell ref="X81:AC84"/>
    <mergeCell ref="N76:P79"/>
    <mergeCell ref="Q76:S79"/>
    <mergeCell ref="L79:M79"/>
    <mergeCell ref="V76:W79"/>
    <mergeCell ref="J1355:K1356"/>
    <mergeCell ref="L1355:L1356"/>
    <mergeCell ref="M1355:Q1355"/>
    <mergeCell ref="M1356:Q1356"/>
    <mergeCell ref="M1358:R1358"/>
    <mergeCell ref="V81:W84"/>
    <mergeCell ref="Q81:S84"/>
    <mergeCell ref="J1405:L1406"/>
    <mergeCell ref="M1405:M1406"/>
    <mergeCell ref="O1405:R1406"/>
    <mergeCell ref="Q1371:R1371"/>
    <mergeCell ref="N1368:P1368"/>
    <mergeCell ref="Q1368:R1368"/>
    <mergeCell ref="T1405:U1406"/>
    <mergeCell ref="J1402:L1403"/>
    <mergeCell ref="N1367:P1367"/>
    <mergeCell ref="J1379:L1380"/>
    <mergeCell ref="J1385:L1386"/>
    <mergeCell ref="M1385:N1386"/>
    <mergeCell ref="M1402:M1403"/>
    <mergeCell ref="O1385:R1386"/>
    <mergeCell ref="N1402:P1403"/>
    <mergeCell ref="Q1402:R1403"/>
    <mergeCell ref="S1399:U1400"/>
    <mergeCell ref="S1402:U1403"/>
    <mergeCell ref="J1399:L1400"/>
    <mergeCell ref="M1399:M1400"/>
    <mergeCell ref="N1399:P1400"/>
    <mergeCell ref="Q1399:R1400"/>
    <mergeCell ref="T1385:U1386"/>
    <mergeCell ref="J1370:L1371"/>
    <mergeCell ref="M1370:M1371"/>
    <mergeCell ref="L1361:L1362"/>
    <mergeCell ref="N1373:P1374"/>
    <mergeCell ref="M1361:M1362"/>
    <mergeCell ref="N1361:O1362"/>
    <mergeCell ref="G1365:U1365"/>
    <mergeCell ref="J1367:L1368"/>
    <mergeCell ref="S1367:U1367"/>
    <mergeCell ref="M1367:M1368"/>
    <mergeCell ref="Q1367:R1367"/>
    <mergeCell ref="Q1370:R1370"/>
    <mergeCell ref="J1373:L1374"/>
    <mergeCell ref="M1373:M1374"/>
    <mergeCell ref="J1358:K1359"/>
    <mergeCell ref="L1358:L1359"/>
    <mergeCell ref="J1382:L1383"/>
    <mergeCell ref="N1382:S1382"/>
    <mergeCell ref="N1383:S1383"/>
    <mergeCell ref="S1368:U1368"/>
    <mergeCell ref="N1371:P1371"/>
    <mergeCell ref="S1371:U1371"/>
    <mergeCell ref="O1359:R1359"/>
    <mergeCell ref="J1361:K1362"/>
    <mergeCell ref="N1370:P1370"/>
    <mergeCell ref="M1379:M1380"/>
    <mergeCell ref="N1379:R1379"/>
    <mergeCell ref="N1380:R1380"/>
    <mergeCell ref="S1370:U1370"/>
    <mergeCell ref="V1348:X1348"/>
    <mergeCell ref="V1349:X1349"/>
    <mergeCell ref="H1349:J1349"/>
    <mergeCell ref="M1350:O1350"/>
    <mergeCell ref="P1349:Q1349"/>
    <mergeCell ref="R1349:T1349"/>
    <mergeCell ref="K1349:L1349"/>
    <mergeCell ref="E1349:F1349"/>
    <mergeCell ref="Z1348:AC1348"/>
    <mergeCell ref="M1349:O1349"/>
    <mergeCell ref="R1348:T1348"/>
    <mergeCell ref="Z1349:AC1349"/>
    <mergeCell ref="P1348:Q1348"/>
    <mergeCell ref="K1328:L1329"/>
    <mergeCell ref="M1328:M1329"/>
    <mergeCell ref="N1328:P1329"/>
    <mergeCell ref="I1342:L1343"/>
    <mergeCell ref="M1342:M1343"/>
    <mergeCell ref="N1342:Q1343"/>
    <mergeCell ref="E1348:F1348"/>
    <mergeCell ref="H1348:J1348"/>
    <mergeCell ref="K1348:L1348"/>
    <mergeCell ref="M1348:O1348"/>
    <mergeCell ref="E1350:F1350"/>
    <mergeCell ref="H1350:J1350"/>
    <mergeCell ref="K1350:L1350"/>
    <mergeCell ref="S1325:U1325"/>
    <mergeCell ref="N1326:P1326"/>
    <mergeCell ref="Q1326:R1326"/>
    <mergeCell ref="S1326:U1326"/>
    <mergeCell ref="Q1325:R1325"/>
    <mergeCell ref="K1325:L1326"/>
    <mergeCell ref="M1325:M1326"/>
    <mergeCell ref="N1325:P1325"/>
    <mergeCell ref="S1336:U1337"/>
    <mergeCell ref="I1339:L1340"/>
    <mergeCell ref="M1339:M1340"/>
    <mergeCell ref="N1339:P1340"/>
    <mergeCell ref="Q1339:R1340"/>
    <mergeCell ref="S1339:U1340"/>
    <mergeCell ref="I1336:L1337"/>
    <mergeCell ref="M1336:M1337"/>
    <mergeCell ref="N1336:P1337"/>
    <mergeCell ref="Q1336:R1337"/>
    <mergeCell ref="S1315:U1315"/>
    <mergeCell ref="K1314:L1315"/>
    <mergeCell ref="M1314:M1315"/>
    <mergeCell ref="N1314:P1314"/>
    <mergeCell ref="Q1314:R1314"/>
    <mergeCell ref="R1322:S1322"/>
    <mergeCell ref="K1317:L1318"/>
    <mergeCell ref="M1317:M1318"/>
    <mergeCell ref="N1317:P1318"/>
    <mergeCell ref="K1322:L1323"/>
    <mergeCell ref="M1322:M1323"/>
    <mergeCell ref="N1322:Q1322"/>
    <mergeCell ref="M1300:M1301"/>
    <mergeCell ref="N1300:P1301"/>
    <mergeCell ref="Q1300:R1301"/>
    <mergeCell ref="T1322:V1322"/>
    <mergeCell ref="N1323:Q1323"/>
    <mergeCell ref="R1323:S1323"/>
    <mergeCell ref="T1323:V1323"/>
    <mergeCell ref="S1314:U1314"/>
    <mergeCell ref="N1315:P1315"/>
    <mergeCell ref="Q1315:R1315"/>
    <mergeCell ref="N1312:Q1312"/>
    <mergeCell ref="R1312:S1312"/>
    <mergeCell ref="T1312:V1312"/>
    <mergeCell ref="J1306:L1307"/>
    <mergeCell ref="M1306:M1307"/>
    <mergeCell ref="N1306:Q1307"/>
    <mergeCell ref="K1311:L1312"/>
    <mergeCell ref="M1311:M1312"/>
    <mergeCell ref="N1311:Q1311"/>
    <mergeCell ref="R1311:S1311"/>
    <mergeCell ref="T1311:V1311"/>
    <mergeCell ref="S1300:U1301"/>
    <mergeCell ref="J1303:L1304"/>
    <mergeCell ref="M1303:M1304"/>
    <mergeCell ref="N1303:P1304"/>
    <mergeCell ref="Q1303:R1304"/>
    <mergeCell ref="S1303:U1304"/>
    <mergeCell ref="M1284:M1285"/>
    <mergeCell ref="J1300:L1301"/>
    <mergeCell ref="V1288:AB1289"/>
    <mergeCell ref="N1289:U1289"/>
    <mergeCell ref="F1291:L1292"/>
    <mergeCell ref="M1291:M1292"/>
    <mergeCell ref="N1291:U1291"/>
    <mergeCell ref="V1291:X1292"/>
    <mergeCell ref="N1292:U1292"/>
    <mergeCell ref="F1294:L1295"/>
    <mergeCell ref="M1294:M1295"/>
    <mergeCell ref="N1294:P1295"/>
    <mergeCell ref="M1288:M1289"/>
    <mergeCell ref="N1288:U1288"/>
    <mergeCell ref="R1294:T1295"/>
    <mergeCell ref="F1288:L1289"/>
    <mergeCell ref="N1284:P1285"/>
    <mergeCell ref="H1274:I1274"/>
    <mergeCell ref="M1210:M1211"/>
    <mergeCell ref="N1210:P1211"/>
    <mergeCell ref="Q1210:R1211"/>
    <mergeCell ref="J1210:L1211"/>
    <mergeCell ref="F1284:L1285"/>
    <mergeCell ref="N1281:U1281"/>
    <mergeCell ref="O1256:Q1256"/>
    <mergeCell ref="O1257:Q1257"/>
    <mergeCell ref="B8:AF8"/>
    <mergeCell ref="AD60:AF60"/>
    <mergeCell ref="V1278:AB1279"/>
    <mergeCell ref="N1279:U1279"/>
    <mergeCell ref="G77:K77"/>
    <mergeCell ref="B61:E64"/>
    <mergeCell ref="J34:N34"/>
    <mergeCell ref="P1264:R1264"/>
    <mergeCell ref="P1266:R1266"/>
    <mergeCell ref="V1281:X1282"/>
    <mergeCell ref="N1282:U1282"/>
    <mergeCell ref="L1275:N1275"/>
    <mergeCell ref="F1278:L1279"/>
    <mergeCell ref="M1278:M1279"/>
    <mergeCell ref="N1278:U1278"/>
    <mergeCell ref="F1281:L1282"/>
    <mergeCell ref="M1281:M1282"/>
    <mergeCell ref="N1207:P1208"/>
    <mergeCell ref="Q1207:R1208"/>
    <mergeCell ref="S1207:U1208"/>
    <mergeCell ref="R1284:T1285"/>
    <mergeCell ref="G79:K79"/>
    <mergeCell ref="X61:AC64"/>
    <mergeCell ref="J1193:L1194"/>
    <mergeCell ref="M1193:N1194"/>
    <mergeCell ref="O1193:R1194"/>
    <mergeCell ref="Q1179:R1179"/>
    <mergeCell ref="S1179:U1179"/>
    <mergeCell ref="J1181:L1182"/>
    <mergeCell ref="T1213:U1214"/>
    <mergeCell ref="V1259:W1259"/>
    <mergeCell ref="O1261:Q1261"/>
    <mergeCell ref="V1261:W1261"/>
    <mergeCell ref="T1193:U1194"/>
    <mergeCell ref="J1207:L1208"/>
    <mergeCell ref="M1207:M1208"/>
    <mergeCell ref="M1187:M1188"/>
    <mergeCell ref="N1187:R1187"/>
    <mergeCell ref="N1188:R1188"/>
    <mergeCell ref="S1210:U1211"/>
    <mergeCell ref="J1178:L1179"/>
    <mergeCell ref="M1178:M1179"/>
    <mergeCell ref="N1178:P1178"/>
    <mergeCell ref="Q1178:R1178"/>
    <mergeCell ref="S1178:U1178"/>
    <mergeCell ref="N1179:P1179"/>
    <mergeCell ref="J1213:L1214"/>
    <mergeCell ref="M1213:M1214"/>
    <mergeCell ref="O1213:R1214"/>
    <mergeCell ref="J1166:K1167"/>
    <mergeCell ref="L1166:L1167"/>
    <mergeCell ref="M1166:R1166"/>
    <mergeCell ref="O1167:R1167"/>
    <mergeCell ref="G1173:U1173"/>
    <mergeCell ref="J1169:K1170"/>
    <mergeCell ref="L1169:L1170"/>
    <mergeCell ref="S1175:U1175"/>
    <mergeCell ref="N1176:P1176"/>
    <mergeCell ref="Q1176:R1176"/>
    <mergeCell ref="S1176:U1176"/>
    <mergeCell ref="J1190:L1191"/>
    <mergeCell ref="N1190:S1190"/>
    <mergeCell ref="N1191:S1191"/>
    <mergeCell ref="M1181:M1182"/>
    <mergeCell ref="N1181:P1182"/>
    <mergeCell ref="J1187:L1188"/>
    <mergeCell ref="J1175:L1176"/>
    <mergeCell ref="M1175:M1176"/>
    <mergeCell ref="N1175:P1175"/>
    <mergeCell ref="Q1175:R1175"/>
    <mergeCell ref="M1169:M1170"/>
    <mergeCell ref="N1169:O1170"/>
    <mergeCell ref="M1158:O1158"/>
    <mergeCell ref="P1157:Q1157"/>
    <mergeCell ref="R1157:T1157"/>
    <mergeCell ref="Z1156:AC1156"/>
    <mergeCell ref="R1156:T1156"/>
    <mergeCell ref="Z1157:AC1157"/>
    <mergeCell ref="V1156:X1156"/>
    <mergeCell ref="K1157:L1157"/>
    <mergeCell ref="V1157:X1157"/>
    <mergeCell ref="I1150:L1151"/>
    <mergeCell ref="M1150:M1151"/>
    <mergeCell ref="N1150:Q1151"/>
    <mergeCell ref="P1156:Q1156"/>
    <mergeCell ref="E1157:F1157"/>
    <mergeCell ref="J1163:K1164"/>
    <mergeCell ref="L1163:L1164"/>
    <mergeCell ref="M1163:Q1163"/>
    <mergeCell ref="M1164:Q1164"/>
    <mergeCell ref="E1158:F1158"/>
    <mergeCell ref="H1158:J1158"/>
    <mergeCell ref="K1158:L1158"/>
    <mergeCell ref="M1157:O1157"/>
    <mergeCell ref="H1157:J1157"/>
    <mergeCell ref="S1144:U1145"/>
    <mergeCell ref="I1147:L1148"/>
    <mergeCell ref="M1147:M1148"/>
    <mergeCell ref="N1147:P1148"/>
    <mergeCell ref="Q1147:R1148"/>
    <mergeCell ref="S1147:U1148"/>
    <mergeCell ref="I1144:L1145"/>
    <mergeCell ref="M1144:M1145"/>
    <mergeCell ref="N1144:P1145"/>
    <mergeCell ref="E1156:F1156"/>
    <mergeCell ref="H1156:J1156"/>
    <mergeCell ref="K1156:L1156"/>
    <mergeCell ref="M1156:O1156"/>
    <mergeCell ref="Q1144:R1145"/>
    <mergeCell ref="K1136:L1137"/>
    <mergeCell ref="M1136:M1137"/>
    <mergeCell ref="N1136:P1137"/>
    <mergeCell ref="K1125:L1126"/>
    <mergeCell ref="M1125:M1126"/>
    <mergeCell ref="N1125:P1126"/>
    <mergeCell ref="K1130:L1131"/>
    <mergeCell ref="M1130:M1131"/>
    <mergeCell ref="N1130:Q1130"/>
    <mergeCell ref="S1133:U1133"/>
    <mergeCell ref="N1134:P1134"/>
    <mergeCell ref="Q1134:R1134"/>
    <mergeCell ref="S1134:U1134"/>
    <mergeCell ref="K1133:L1134"/>
    <mergeCell ref="M1133:M1134"/>
    <mergeCell ref="N1133:P1133"/>
    <mergeCell ref="Q1133:R1133"/>
    <mergeCell ref="K1122:L1123"/>
    <mergeCell ref="M1122:M1123"/>
    <mergeCell ref="N1122:P1122"/>
    <mergeCell ref="Q1122:R1122"/>
    <mergeCell ref="R1130:S1130"/>
    <mergeCell ref="T1130:V1130"/>
    <mergeCell ref="N1131:Q1131"/>
    <mergeCell ref="R1131:S1131"/>
    <mergeCell ref="T1131:V1131"/>
    <mergeCell ref="V1067:W1067"/>
    <mergeCell ref="O1069:Q1069"/>
    <mergeCell ref="V1069:W1069"/>
    <mergeCell ref="S250:U251"/>
    <mergeCell ref="T1001:U1002"/>
    <mergeCell ref="S1015:U1016"/>
    <mergeCell ref="T1120:V1120"/>
    <mergeCell ref="J1114:L1115"/>
    <mergeCell ref="M1114:M1115"/>
    <mergeCell ref="N1114:Q1115"/>
    <mergeCell ref="K1119:L1120"/>
    <mergeCell ref="M1119:M1120"/>
    <mergeCell ref="S1122:U1122"/>
    <mergeCell ref="N1123:P1123"/>
    <mergeCell ref="Q1123:R1123"/>
    <mergeCell ref="S1123:U1123"/>
    <mergeCell ref="R1119:S1119"/>
    <mergeCell ref="T1119:V1119"/>
    <mergeCell ref="N1120:Q1120"/>
    <mergeCell ref="R1120:S1120"/>
    <mergeCell ref="N1119:Q1119"/>
    <mergeCell ref="F1096:L1097"/>
    <mergeCell ref="M1096:M1097"/>
    <mergeCell ref="N1096:U1096"/>
    <mergeCell ref="V1096:AB1097"/>
    <mergeCell ref="N1097:U1097"/>
    <mergeCell ref="F1086:L1087"/>
    <mergeCell ref="M1086:M1087"/>
    <mergeCell ref="F1102:L1103"/>
    <mergeCell ref="M1102:M1103"/>
    <mergeCell ref="N1102:P1103"/>
    <mergeCell ref="R1102:T1103"/>
    <mergeCell ref="V1099:X1100"/>
    <mergeCell ref="N1100:U1100"/>
    <mergeCell ref="F1099:L1100"/>
    <mergeCell ref="M1099:M1100"/>
    <mergeCell ref="N1099:U1099"/>
    <mergeCell ref="S1108:U1109"/>
    <mergeCell ref="J1111:L1112"/>
    <mergeCell ref="M1111:M1112"/>
    <mergeCell ref="N1111:P1112"/>
    <mergeCell ref="Q1111:R1112"/>
    <mergeCell ref="S1111:U1112"/>
    <mergeCell ref="J1108:L1109"/>
    <mergeCell ref="M1108:M1109"/>
    <mergeCell ref="N1108:P1109"/>
    <mergeCell ref="Q1108:R1109"/>
    <mergeCell ref="N1086:U1086"/>
    <mergeCell ref="V1086:AB1087"/>
    <mergeCell ref="N1087:U1087"/>
    <mergeCell ref="F1092:L1093"/>
    <mergeCell ref="M1092:M1093"/>
    <mergeCell ref="N1092:P1093"/>
    <mergeCell ref="R1092:T1093"/>
    <mergeCell ref="V1089:X1090"/>
    <mergeCell ref="N1090:U1090"/>
    <mergeCell ref="F1089:L1090"/>
    <mergeCell ref="M1089:M1090"/>
    <mergeCell ref="N1089:U1089"/>
    <mergeCell ref="H1082:I1082"/>
    <mergeCell ref="L1083:N1083"/>
    <mergeCell ref="O1064:Q1064"/>
    <mergeCell ref="O1065:Q1065"/>
    <mergeCell ref="P1072:R1072"/>
    <mergeCell ref="P1074:R1074"/>
    <mergeCell ref="J986:L987"/>
    <mergeCell ref="M986:M987"/>
    <mergeCell ref="N986:P986"/>
    <mergeCell ref="Q986:R986"/>
    <mergeCell ref="S1018:U1019"/>
    <mergeCell ref="J1021:L1022"/>
    <mergeCell ref="M1021:M1022"/>
    <mergeCell ref="O1021:R1022"/>
    <mergeCell ref="J989:L990"/>
    <mergeCell ref="M989:M990"/>
    <mergeCell ref="J995:L996"/>
    <mergeCell ref="M995:M996"/>
    <mergeCell ref="N995:R995"/>
    <mergeCell ref="N996:R996"/>
    <mergeCell ref="J998:L999"/>
    <mergeCell ref="N998:S998"/>
    <mergeCell ref="N999:S999"/>
    <mergeCell ref="J253:L254"/>
    <mergeCell ref="M253:M254"/>
    <mergeCell ref="T233:U234"/>
    <mergeCell ref="J247:L248"/>
    <mergeCell ref="M247:M248"/>
    <mergeCell ref="N247:P248"/>
    <mergeCell ref="Q247:R248"/>
    <mergeCell ref="S247:U248"/>
    <mergeCell ref="O253:R254"/>
    <mergeCell ref="T253:U254"/>
    <mergeCell ref="S986:U986"/>
    <mergeCell ref="N987:P987"/>
    <mergeCell ref="Q987:R987"/>
    <mergeCell ref="S987:U987"/>
    <mergeCell ref="N989:P990"/>
    <mergeCell ref="N1015:P1016"/>
    <mergeCell ref="Q1015:R1016"/>
    <mergeCell ref="N933:P934"/>
    <mergeCell ref="J230:L231"/>
    <mergeCell ref="N230:S230"/>
    <mergeCell ref="N231:S231"/>
    <mergeCell ref="J206:K207"/>
    <mergeCell ref="L206:L207"/>
    <mergeCell ref="M206:R206"/>
    <mergeCell ref="O207:R207"/>
    <mergeCell ref="J209:K210"/>
    <mergeCell ref="N209:O210"/>
    <mergeCell ref="J221:L222"/>
    <mergeCell ref="M221:M222"/>
    <mergeCell ref="N221:P222"/>
    <mergeCell ref="J227:L228"/>
    <mergeCell ref="M227:M228"/>
    <mergeCell ref="N227:R227"/>
    <mergeCell ref="S931:U931"/>
    <mergeCell ref="Q931:R931"/>
    <mergeCell ref="J798:L799"/>
    <mergeCell ref="M798:M799"/>
    <mergeCell ref="N798:P799"/>
    <mergeCell ref="Q366:R366"/>
    <mergeCell ref="P391:R391"/>
    <mergeCell ref="N543:Q543"/>
    <mergeCell ref="T544:V544"/>
    <mergeCell ref="J233:L234"/>
    <mergeCell ref="M233:N234"/>
    <mergeCell ref="O233:R234"/>
    <mergeCell ref="J250:L251"/>
    <mergeCell ref="M250:M251"/>
    <mergeCell ref="N250:P251"/>
    <mergeCell ref="Q250:R251"/>
    <mergeCell ref="V197:X197"/>
    <mergeCell ref="R197:T197"/>
    <mergeCell ref="G213:T213"/>
    <mergeCell ref="J215:L216"/>
    <mergeCell ref="M215:M216"/>
    <mergeCell ref="N215:P215"/>
    <mergeCell ref="Q215:R215"/>
    <mergeCell ref="S215:U215"/>
    <mergeCell ref="N216:P216"/>
    <mergeCell ref="J218:L219"/>
    <mergeCell ref="M218:M219"/>
    <mergeCell ref="N218:P218"/>
    <mergeCell ref="Q218:R218"/>
    <mergeCell ref="S218:U218"/>
    <mergeCell ref="N219:P219"/>
    <mergeCell ref="Q219:R219"/>
    <mergeCell ref="S219:U219"/>
    <mergeCell ref="H197:J197"/>
    <mergeCell ref="E197:F197"/>
    <mergeCell ref="J203:K204"/>
    <mergeCell ref="L203:L204"/>
    <mergeCell ref="M203:Q203"/>
    <mergeCell ref="M204:Q204"/>
    <mergeCell ref="E198:F198"/>
    <mergeCell ref="K197:L197"/>
    <mergeCell ref="M198:O198"/>
    <mergeCell ref="H198:J198"/>
    <mergeCell ref="K198:L198"/>
    <mergeCell ref="E196:F196"/>
    <mergeCell ref="H196:J196"/>
    <mergeCell ref="K196:L196"/>
    <mergeCell ref="M196:O196"/>
    <mergeCell ref="S184:U185"/>
    <mergeCell ref="I187:L188"/>
    <mergeCell ref="M187:M188"/>
    <mergeCell ref="N187:P188"/>
    <mergeCell ref="Q187:R188"/>
    <mergeCell ref="E965:F965"/>
    <mergeCell ref="H965:J965"/>
    <mergeCell ref="J977:K978"/>
    <mergeCell ref="L977:L978"/>
    <mergeCell ref="J971:K972"/>
    <mergeCell ref="L971:L972"/>
    <mergeCell ref="K159:L160"/>
    <mergeCell ref="M159:M160"/>
    <mergeCell ref="N159:Q159"/>
    <mergeCell ref="K162:L163"/>
    <mergeCell ref="M162:M163"/>
    <mergeCell ref="N162:P162"/>
    <mergeCell ref="Q162:R162"/>
    <mergeCell ref="S162:U162"/>
    <mergeCell ref="N163:P163"/>
    <mergeCell ref="Q163:R163"/>
    <mergeCell ref="S163:U163"/>
    <mergeCell ref="R159:S159"/>
    <mergeCell ref="T159:V159"/>
    <mergeCell ref="R160:S160"/>
    <mergeCell ref="T160:V160"/>
    <mergeCell ref="N160:Q160"/>
    <mergeCell ref="S187:U188"/>
    <mergeCell ref="T170:V170"/>
    <mergeCell ref="N171:Q171"/>
    <mergeCell ref="R171:S171"/>
    <mergeCell ref="T171:V171"/>
    <mergeCell ref="K170:L171"/>
    <mergeCell ref="M170:M171"/>
    <mergeCell ref="N170:Q170"/>
    <mergeCell ref="R170:S170"/>
    <mergeCell ref="S173:U173"/>
    <mergeCell ref="M209:M210"/>
    <mergeCell ref="T1021:U1022"/>
    <mergeCell ref="J1018:L1019"/>
    <mergeCell ref="M1018:M1019"/>
    <mergeCell ref="N1018:P1019"/>
    <mergeCell ref="Q1018:R1019"/>
    <mergeCell ref="J1001:L1002"/>
    <mergeCell ref="M1001:N1002"/>
    <mergeCell ref="O1001:R1002"/>
    <mergeCell ref="J1015:L1016"/>
    <mergeCell ref="M1015:M1016"/>
    <mergeCell ref="N174:P174"/>
    <mergeCell ref="Q174:R174"/>
    <mergeCell ref="S174:U174"/>
    <mergeCell ref="K173:L174"/>
    <mergeCell ref="M173:M174"/>
    <mergeCell ref="N173:P173"/>
    <mergeCell ref="Q173:R173"/>
    <mergeCell ref="R196:T196"/>
    <mergeCell ref="P196:Q196"/>
    <mergeCell ref="P197:Q197"/>
    <mergeCell ref="N184:P185"/>
    <mergeCell ref="Q184:R185"/>
    <mergeCell ref="I190:L191"/>
    <mergeCell ref="M190:M191"/>
    <mergeCell ref="M966:O966"/>
    <mergeCell ref="J916:L917"/>
    <mergeCell ref="M916:M917"/>
    <mergeCell ref="N916:P917"/>
    <mergeCell ref="Q916:R917"/>
    <mergeCell ref="N931:P931"/>
    <mergeCell ref="M933:M934"/>
    <mergeCell ref="E966:F966"/>
    <mergeCell ref="H966:J966"/>
    <mergeCell ref="K966:L966"/>
    <mergeCell ref="J974:K975"/>
    <mergeCell ref="L974:L975"/>
    <mergeCell ref="M971:Q971"/>
    <mergeCell ref="M972:Q972"/>
    <mergeCell ref="M974:R974"/>
    <mergeCell ref="O975:R975"/>
    <mergeCell ref="M983:M984"/>
    <mergeCell ref="N983:P983"/>
    <mergeCell ref="Q983:R983"/>
    <mergeCell ref="S983:U983"/>
    <mergeCell ref="M977:M978"/>
    <mergeCell ref="N984:P984"/>
    <mergeCell ref="Q984:R984"/>
    <mergeCell ref="S984:U984"/>
    <mergeCell ref="N977:O978"/>
    <mergeCell ref="G981:T981"/>
    <mergeCell ref="J983:L984"/>
    <mergeCell ref="Z964:AC964"/>
    <mergeCell ref="M965:O965"/>
    <mergeCell ref="R964:T964"/>
    <mergeCell ref="Z965:AC965"/>
    <mergeCell ref="V964:X964"/>
    <mergeCell ref="V965:X965"/>
    <mergeCell ref="M964:O964"/>
    <mergeCell ref="R965:T965"/>
    <mergeCell ref="P965:Q965"/>
    <mergeCell ref="K964:L964"/>
    <mergeCell ref="K965:L965"/>
    <mergeCell ref="K944:L945"/>
    <mergeCell ref="I958:L959"/>
    <mergeCell ref="M958:M959"/>
    <mergeCell ref="N958:Q959"/>
    <mergeCell ref="P964:Q964"/>
    <mergeCell ref="M952:M953"/>
    <mergeCell ref="N952:P953"/>
    <mergeCell ref="Q952:R953"/>
    <mergeCell ref="H964:J964"/>
    <mergeCell ref="E964:F964"/>
    <mergeCell ref="S952:U953"/>
    <mergeCell ref="N944:P945"/>
    <mergeCell ref="M944:M945"/>
    <mergeCell ref="I955:L956"/>
    <mergeCell ref="M955:M956"/>
    <mergeCell ref="N955:P956"/>
    <mergeCell ref="Q955:R956"/>
    <mergeCell ref="S955:U956"/>
    <mergeCell ref="I952:L953"/>
    <mergeCell ref="Q942:R942"/>
    <mergeCell ref="S942:U942"/>
    <mergeCell ref="K930:L931"/>
    <mergeCell ref="M930:M931"/>
    <mergeCell ref="N930:P930"/>
    <mergeCell ref="Q930:R930"/>
    <mergeCell ref="T938:V938"/>
    <mergeCell ref="S930:U930"/>
    <mergeCell ref="K941:L942"/>
    <mergeCell ref="M941:M942"/>
    <mergeCell ref="N941:P941"/>
    <mergeCell ref="Q941:R941"/>
    <mergeCell ref="N938:Q938"/>
    <mergeCell ref="R938:S938"/>
    <mergeCell ref="N939:Q939"/>
    <mergeCell ref="S941:U941"/>
    <mergeCell ref="T939:V939"/>
    <mergeCell ref="N942:P942"/>
    <mergeCell ref="R939:S939"/>
    <mergeCell ref="K933:L934"/>
    <mergeCell ref="K938:L939"/>
    <mergeCell ref="M938:M939"/>
    <mergeCell ref="V904:AB905"/>
    <mergeCell ref="J922:L923"/>
    <mergeCell ref="M922:M923"/>
    <mergeCell ref="N922:Q923"/>
    <mergeCell ref="K927:L928"/>
    <mergeCell ref="M927:M928"/>
    <mergeCell ref="S916:U917"/>
    <mergeCell ref="N907:U907"/>
    <mergeCell ref="V907:X908"/>
    <mergeCell ref="N908:U908"/>
    <mergeCell ref="J919:L920"/>
    <mergeCell ref="M919:M920"/>
    <mergeCell ref="N919:P920"/>
    <mergeCell ref="R927:S927"/>
    <mergeCell ref="T927:V927"/>
    <mergeCell ref="Q919:R920"/>
    <mergeCell ref="S919:U920"/>
    <mergeCell ref="N927:Q927"/>
    <mergeCell ref="N905:U905"/>
    <mergeCell ref="F904:L905"/>
    <mergeCell ref="F907:L908"/>
    <mergeCell ref="M907:M908"/>
    <mergeCell ref="N928:Q928"/>
    <mergeCell ref="R928:S928"/>
    <mergeCell ref="T928:V928"/>
    <mergeCell ref="F910:L911"/>
    <mergeCell ref="M910:M911"/>
    <mergeCell ref="N910:P911"/>
    <mergeCell ref="M904:M905"/>
    <mergeCell ref="N904:U904"/>
    <mergeCell ref="R910:T911"/>
    <mergeCell ref="M900:M901"/>
    <mergeCell ref="N900:P901"/>
    <mergeCell ref="F900:L901"/>
    <mergeCell ref="J804:L805"/>
    <mergeCell ref="M804:M805"/>
    <mergeCell ref="N804:R804"/>
    <mergeCell ref="N805:R805"/>
    <mergeCell ref="J826:L827"/>
    <mergeCell ref="P880:R880"/>
    <mergeCell ref="N808:S808"/>
    <mergeCell ref="J810:L811"/>
    <mergeCell ref="M810:N811"/>
    <mergeCell ref="S826:U827"/>
    <mergeCell ref="P882:R882"/>
    <mergeCell ref="R900:T901"/>
    <mergeCell ref="O877:Q877"/>
    <mergeCell ref="J807:L808"/>
    <mergeCell ref="N807:S807"/>
    <mergeCell ref="V894:AB895"/>
    <mergeCell ref="N895:U895"/>
    <mergeCell ref="F897:L898"/>
    <mergeCell ref="M897:M898"/>
    <mergeCell ref="N897:U897"/>
    <mergeCell ref="V897:X898"/>
    <mergeCell ref="N898:U898"/>
    <mergeCell ref="V877:W877"/>
    <mergeCell ref="M823:M824"/>
    <mergeCell ref="N823:P824"/>
    <mergeCell ref="Q823:R824"/>
    <mergeCell ref="T829:U830"/>
    <mergeCell ref="M826:M827"/>
    <mergeCell ref="S823:U824"/>
    <mergeCell ref="Q826:R827"/>
    <mergeCell ref="O872:Q872"/>
    <mergeCell ref="O829:R830"/>
    <mergeCell ref="V875:W875"/>
    <mergeCell ref="O873:Q873"/>
    <mergeCell ref="N826:P827"/>
    <mergeCell ref="J829:L830"/>
    <mergeCell ref="M829:M830"/>
    <mergeCell ref="H890:I890"/>
    <mergeCell ref="L891:N891"/>
    <mergeCell ref="F894:L895"/>
    <mergeCell ref="M894:M895"/>
    <mergeCell ref="N894:U894"/>
    <mergeCell ref="E582:F582"/>
    <mergeCell ref="H582:J582"/>
    <mergeCell ref="K582:L582"/>
    <mergeCell ref="M582:O582"/>
    <mergeCell ref="E581:F581"/>
    <mergeCell ref="H581:J581"/>
    <mergeCell ref="K581:L581"/>
    <mergeCell ref="M581:O581"/>
    <mergeCell ref="T810:U811"/>
    <mergeCell ref="J823:L824"/>
    <mergeCell ref="O810:R811"/>
    <mergeCell ref="S763:U764"/>
    <mergeCell ref="M766:M767"/>
    <mergeCell ref="S774:T774"/>
    <mergeCell ref="I766:L767"/>
    <mergeCell ref="L783:L784"/>
    <mergeCell ref="M783:R783"/>
    <mergeCell ref="P773:R773"/>
    <mergeCell ref="S773:T773"/>
    <mergeCell ref="I763:L764"/>
    <mergeCell ref="N749:P749"/>
    <mergeCell ref="K752:L753"/>
    <mergeCell ref="N796:P796"/>
    <mergeCell ref="Q796:R796"/>
    <mergeCell ref="S796:U796"/>
    <mergeCell ref="S792:U792"/>
    <mergeCell ref="N793:P793"/>
    <mergeCell ref="Q793:R793"/>
    <mergeCell ref="S793:U793"/>
    <mergeCell ref="Q750:R750"/>
    <mergeCell ref="K738:L739"/>
    <mergeCell ref="M738:M739"/>
    <mergeCell ref="G390:I390"/>
    <mergeCell ref="K390:M390"/>
    <mergeCell ref="N390:O390"/>
    <mergeCell ref="P390:R390"/>
    <mergeCell ref="P581:Q581"/>
    <mergeCell ref="Z580:AC580"/>
    <mergeCell ref="Z581:AC581"/>
    <mergeCell ref="V581:X581"/>
    <mergeCell ref="R580:T580"/>
    <mergeCell ref="E580:F580"/>
    <mergeCell ref="H580:J580"/>
    <mergeCell ref="K580:L580"/>
    <mergeCell ref="M580:O580"/>
    <mergeCell ref="P580:Q580"/>
    <mergeCell ref="V580:X580"/>
    <mergeCell ref="R581:T581"/>
    <mergeCell ref="K560:L561"/>
    <mergeCell ref="M560:M561"/>
    <mergeCell ref="N560:P561"/>
    <mergeCell ref="M568:M569"/>
    <mergeCell ref="N568:P569"/>
    <mergeCell ref="I568:L569"/>
    <mergeCell ref="M574:M575"/>
    <mergeCell ref="Q568:R569"/>
    <mergeCell ref="R526:T527"/>
    <mergeCell ref="T555:V555"/>
    <mergeCell ref="N547:P547"/>
    <mergeCell ref="Q547:R547"/>
    <mergeCell ref="S547:U547"/>
    <mergeCell ref="N532:P533"/>
    <mergeCell ref="F526:L527"/>
    <mergeCell ref="Q546:R546"/>
    <mergeCell ref="X389:AA389"/>
    <mergeCell ref="V136:AB137"/>
    <mergeCell ref="P389:R389"/>
    <mergeCell ref="N369:P370"/>
    <mergeCell ref="T351:V351"/>
    <mergeCell ref="Q355:R355"/>
    <mergeCell ref="S355:U355"/>
    <mergeCell ref="R351:S351"/>
    <mergeCell ref="Q343:R344"/>
    <mergeCell ref="N165:P166"/>
    <mergeCell ref="X390:AA390"/>
    <mergeCell ref="Q148:R149"/>
    <mergeCell ref="N151:P152"/>
    <mergeCell ref="Q151:R152"/>
    <mergeCell ref="N142:P143"/>
    <mergeCell ref="S148:U149"/>
    <mergeCell ref="Z196:AC196"/>
    <mergeCell ref="Z197:AC197"/>
    <mergeCell ref="V196:X196"/>
    <mergeCell ref="N190:Q191"/>
    <mergeCell ref="M197:O197"/>
    <mergeCell ref="N228:R228"/>
    <mergeCell ref="Q216:R216"/>
    <mergeCell ref="S216:U216"/>
    <mergeCell ref="K389:M389"/>
    <mergeCell ref="J151:L152"/>
    <mergeCell ref="M151:M152"/>
    <mergeCell ref="K165:L166"/>
    <mergeCell ref="M165:M166"/>
    <mergeCell ref="I184:L185"/>
    <mergeCell ref="M184:M185"/>
    <mergeCell ref="L209:L210"/>
    <mergeCell ref="L123:N123"/>
    <mergeCell ref="M132:M133"/>
    <mergeCell ref="R132:T133"/>
    <mergeCell ref="S568:U569"/>
    <mergeCell ref="S795:U795"/>
    <mergeCell ref="R554:S554"/>
    <mergeCell ref="N132:P133"/>
    <mergeCell ref="M546:M547"/>
    <mergeCell ref="N546:P546"/>
    <mergeCell ref="U389:V389"/>
    <mergeCell ref="M780:Q780"/>
    <mergeCell ref="M781:Q781"/>
    <mergeCell ref="Q760:R761"/>
    <mergeCell ref="S760:U761"/>
    <mergeCell ref="Q763:R764"/>
    <mergeCell ref="N766:Q767"/>
    <mergeCell ref="S389:T389"/>
    <mergeCell ref="N389:O389"/>
    <mergeCell ref="S571:U572"/>
    <mergeCell ref="S557:U557"/>
    <mergeCell ref="T554:V554"/>
    <mergeCell ref="N555:Q555"/>
    <mergeCell ref="R363:S363"/>
    <mergeCell ref="M752:M753"/>
    <mergeCell ref="M763:M764"/>
    <mergeCell ref="N763:P764"/>
    <mergeCell ref="M760:M761"/>
    <mergeCell ref="N760:P761"/>
    <mergeCell ref="N752:P753"/>
    <mergeCell ref="I760:L761"/>
    <mergeCell ref="S749:U749"/>
    <mergeCell ref="V520:AB521"/>
    <mergeCell ref="X774:AA774"/>
    <mergeCell ref="N774:O774"/>
    <mergeCell ref="U774:V774"/>
    <mergeCell ref="J795:L796"/>
    <mergeCell ref="M795:M796"/>
    <mergeCell ref="N795:P795"/>
    <mergeCell ref="Q795:R795"/>
    <mergeCell ref="O784:R784"/>
    <mergeCell ref="G773:I773"/>
    <mergeCell ref="N773:O773"/>
    <mergeCell ref="G790:U790"/>
    <mergeCell ref="J786:K787"/>
    <mergeCell ref="J783:K784"/>
    <mergeCell ref="X773:AA773"/>
    <mergeCell ref="K775:M775"/>
    <mergeCell ref="K774:M774"/>
    <mergeCell ref="J780:K781"/>
    <mergeCell ref="L780:L781"/>
    <mergeCell ref="K773:M773"/>
    <mergeCell ref="G775:I775"/>
    <mergeCell ref="N775:O775"/>
    <mergeCell ref="P775:R775"/>
    <mergeCell ref="G774:I774"/>
    <mergeCell ref="J792:L793"/>
    <mergeCell ref="M792:M793"/>
    <mergeCell ref="N792:P792"/>
    <mergeCell ref="Q792:R792"/>
    <mergeCell ref="P774:R774"/>
    <mergeCell ref="U773:V773"/>
    <mergeCell ref="L786:L787"/>
    <mergeCell ref="M786:M787"/>
    <mergeCell ref="N786:O787"/>
    <mergeCell ref="N738:P738"/>
    <mergeCell ref="K741:L742"/>
    <mergeCell ref="M741:M742"/>
    <mergeCell ref="N741:P742"/>
    <mergeCell ref="K749:L750"/>
    <mergeCell ref="M749:M750"/>
    <mergeCell ref="R747:S747"/>
    <mergeCell ref="T747:V747"/>
    <mergeCell ref="K746:L747"/>
    <mergeCell ref="N750:P750"/>
    <mergeCell ref="Q738:R738"/>
    <mergeCell ref="S738:U738"/>
    <mergeCell ref="N739:P739"/>
    <mergeCell ref="Q739:R739"/>
    <mergeCell ref="S739:U739"/>
    <mergeCell ref="Q749:R749"/>
    <mergeCell ref="J724:L725"/>
    <mergeCell ref="M724:M725"/>
    <mergeCell ref="N724:P725"/>
    <mergeCell ref="Q724:R725"/>
    <mergeCell ref="S750:U750"/>
    <mergeCell ref="M746:M747"/>
    <mergeCell ref="N746:Q746"/>
    <mergeCell ref="R746:S746"/>
    <mergeCell ref="T746:V746"/>
    <mergeCell ref="N747:Q747"/>
    <mergeCell ref="J727:L728"/>
    <mergeCell ref="M727:M728"/>
    <mergeCell ref="N727:P728"/>
    <mergeCell ref="N736:Q736"/>
    <mergeCell ref="R736:S736"/>
    <mergeCell ref="T736:V736"/>
    <mergeCell ref="J730:L731"/>
    <mergeCell ref="M730:M731"/>
    <mergeCell ref="N730:Q731"/>
    <mergeCell ref="K735:L736"/>
    <mergeCell ref="N634:P635"/>
    <mergeCell ref="Q634:R635"/>
    <mergeCell ref="M708:M709"/>
    <mergeCell ref="N708:P709"/>
    <mergeCell ref="R708:T709"/>
    <mergeCell ref="R735:S735"/>
    <mergeCell ref="T735:V735"/>
    <mergeCell ref="S724:U725"/>
    <mergeCell ref="M735:M736"/>
    <mergeCell ref="N735:Q735"/>
    <mergeCell ref="Q727:R728"/>
    <mergeCell ref="S727:U728"/>
    <mergeCell ref="N716:U716"/>
    <mergeCell ref="F712:L713"/>
    <mergeCell ref="M712:M713"/>
    <mergeCell ref="N712:U712"/>
    <mergeCell ref="O689:Q689"/>
    <mergeCell ref="L699:N699"/>
    <mergeCell ref="F702:L703"/>
    <mergeCell ref="M702:M703"/>
    <mergeCell ref="N702:U702"/>
    <mergeCell ref="F708:L709"/>
    <mergeCell ref="F718:L719"/>
    <mergeCell ref="M718:M719"/>
    <mergeCell ref="N718:P719"/>
    <mergeCell ref="R718:T719"/>
    <mergeCell ref="V712:AB713"/>
    <mergeCell ref="N713:U713"/>
    <mergeCell ref="F715:L716"/>
    <mergeCell ref="M715:M716"/>
    <mergeCell ref="N715:U715"/>
    <mergeCell ref="V715:X716"/>
    <mergeCell ref="M611:M612"/>
    <mergeCell ref="N611:R611"/>
    <mergeCell ref="N612:R612"/>
    <mergeCell ref="O681:Q681"/>
    <mergeCell ref="V685:W685"/>
    <mergeCell ref="O688:Q688"/>
    <mergeCell ref="H698:I698"/>
    <mergeCell ref="V683:W683"/>
    <mergeCell ref="O685:Q685"/>
    <mergeCell ref="V702:AB703"/>
    <mergeCell ref="N703:U703"/>
    <mergeCell ref="F705:L706"/>
    <mergeCell ref="M705:M706"/>
    <mergeCell ref="N705:U705"/>
    <mergeCell ref="V705:X706"/>
    <mergeCell ref="N706:U706"/>
    <mergeCell ref="N631:P632"/>
    <mergeCell ref="Q631:R632"/>
    <mergeCell ref="J617:L618"/>
    <mergeCell ref="M617:N618"/>
    <mergeCell ref="O617:R618"/>
    <mergeCell ref="S631:U632"/>
    <mergeCell ref="T617:U618"/>
    <mergeCell ref="J631:L632"/>
    <mergeCell ref="M631:M632"/>
    <mergeCell ref="S634:U635"/>
    <mergeCell ref="J637:L638"/>
    <mergeCell ref="M637:M638"/>
    <mergeCell ref="O637:R638"/>
    <mergeCell ref="T637:U638"/>
    <mergeCell ref="J634:L635"/>
    <mergeCell ref="M634:M635"/>
    <mergeCell ref="J614:L615"/>
    <mergeCell ref="N614:S614"/>
    <mergeCell ref="N615:S615"/>
    <mergeCell ref="J590:K591"/>
    <mergeCell ref="L590:L591"/>
    <mergeCell ref="M590:R590"/>
    <mergeCell ref="O591:R591"/>
    <mergeCell ref="J593:K594"/>
    <mergeCell ref="L593:L594"/>
    <mergeCell ref="M593:M594"/>
    <mergeCell ref="J599:L600"/>
    <mergeCell ref="M599:M600"/>
    <mergeCell ref="N599:P599"/>
    <mergeCell ref="Q599:R599"/>
    <mergeCell ref="S599:U599"/>
    <mergeCell ref="N600:P600"/>
    <mergeCell ref="Q600:R600"/>
    <mergeCell ref="S600:U600"/>
    <mergeCell ref="N593:O594"/>
    <mergeCell ref="G597:T597"/>
    <mergeCell ref="S602:U602"/>
    <mergeCell ref="N603:P603"/>
    <mergeCell ref="Q603:R603"/>
    <mergeCell ref="S603:U603"/>
    <mergeCell ref="J602:L603"/>
    <mergeCell ref="M602:M603"/>
    <mergeCell ref="N602:P602"/>
    <mergeCell ref="Q602:R602"/>
    <mergeCell ref="J605:L606"/>
    <mergeCell ref="M605:M606"/>
    <mergeCell ref="N605:P606"/>
    <mergeCell ref="J611:L612"/>
    <mergeCell ref="J587:K588"/>
    <mergeCell ref="L587:L588"/>
    <mergeCell ref="M587:Q587"/>
    <mergeCell ref="M588:Q588"/>
    <mergeCell ref="M571:M572"/>
    <mergeCell ref="N571:P572"/>
    <mergeCell ref="Q571:R572"/>
    <mergeCell ref="N574:Q575"/>
    <mergeCell ref="I571:L572"/>
    <mergeCell ref="I574:L575"/>
    <mergeCell ref="K557:L558"/>
    <mergeCell ref="M557:M558"/>
    <mergeCell ref="N557:P557"/>
    <mergeCell ref="Q557:R557"/>
    <mergeCell ref="K554:L555"/>
    <mergeCell ref="M554:M555"/>
    <mergeCell ref="N554:Q554"/>
    <mergeCell ref="R555:S555"/>
    <mergeCell ref="N558:P558"/>
    <mergeCell ref="Q558:R558"/>
    <mergeCell ref="S558:U558"/>
    <mergeCell ref="J538:L539"/>
    <mergeCell ref="M538:M539"/>
    <mergeCell ref="N538:Q539"/>
    <mergeCell ref="K543:L544"/>
    <mergeCell ref="M543:M544"/>
    <mergeCell ref="M526:M527"/>
    <mergeCell ref="N526:P527"/>
    <mergeCell ref="J532:L533"/>
    <mergeCell ref="M532:M533"/>
    <mergeCell ref="S546:U546"/>
    <mergeCell ref="R543:S543"/>
    <mergeCell ref="T543:V543"/>
    <mergeCell ref="N544:Q544"/>
    <mergeCell ref="R544:S544"/>
    <mergeCell ref="Q532:R533"/>
    <mergeCell ref="K546:L547"/>
    <mergeCell ref="S532:U533"/>
    <mergeCell ref="J535:L536"/>
    <mergeCell ref="M535:M536"/>
    <mergeCell ref="N535:P536"/>
    <mergeCell ref="Q535:R536"/>
    <mergeCell ref="S535:U536"/>
    <mergeCell ref="F520:L521"/>
    <mergeCell ref="M510:M511"/>
    <mergeCell ref="N510:U510"/>
    <mergeCell ref="N511:U511"/>
    <mergeCell ref="N513:U513"/>
    <mergeCell ref="N514:U514"/>
    <mergeCell ref="R516:T517"/>
    <mergeCell ref="M513:M514"/>
    <mergeCell ref="F523:L524"/>
    <mergeCell ref="K549:L550"/>
    <mergeCell ref="M549:M550"/>
    <mergeCell ref="N549:P550"/>
    <mergeCell ref="N521:U521"/>
    <mergeCell ref="M520:M521"/>
    <mergeCell ref="N520:U520"/>
    <mergeCell ref="J399:K400"/>
    <mergeCell ref="J414:L415"/>
    <mergeCell ref="M414:M415"/>
    <mergeCell ref="N414:P415"/>
    <mergeCell ref="J402:K403"/>
    <mergeCell ref="L402:L403"/>
    <mergeCell ref="N402:O403"/>
    <mergeCell ref="L399:L400"/>
    <mergeCell ref="M399:R399"/>
    <mergeCell ref="O400:R400"/>
    <mergeCell ref="M402:M403"/>
    <mergeCell ref="J426:L427"/>
    <mergeCell ref="M426:N427"/>
    <mergeCell ref="O426:R427"/>
    <mergeCell ref="Q442:R443"/>
    <mergeCell ref="V523:X524"/>
    <mergeCell ref="N524:U524"/>
    <mergeCell ref="M523:M524"/>
    <mergeCell ref="N523:U523"/>
    <mergeCell ref="V492:W492"/>
    <mergeCell ref="T426:U427"/>
    <mergeCell ref="S439:U440"/>
    <mergeCell ref="N423:S423"/>
    <mergeCell ref="N424:S424"/>
    <mergeCell ref="S412:U412"/>
    <mergeCell ref="S411:U411"/>
    <mergeCell ref="N411:P411"/>
    <mergeCell ref="J420:L421"/>
    <mergeCell ref="M420:M421"/>
    <mergeCell ref="H506:I506"/>
    <mergeCell ref="O490:Q490"/>
    <mergeCell ref="L507:N507"/>
    <mergeCell ref="O497:Q497"/>
    <mergeCell ref="F510:L511"/>
    <mergeCell ref="F516:L517"/>
    <mergeCell ref="M516:M517"/>
    <mergeCell ref="N516:P517"/>
    <mergeCell ref="F513:L514"/>
    <mergeCell ref="O494:Q494"/>
    <mergeCell ref="G389:I389"/>
    <mergeCell ref="V494:W494"/>
    <mergeCell ref="G406:T406"/>
    <mergeCell ref="J408:L409"/>
    <mergeCell ref="M408:M409"/>
    <mergeCell ref="N408:P408"/>
    <mergeCell ref="Q408:R408"/>
    <mergeCell ref="Q409:R409"/>
    <mergeCell ref="S409:U409"/>
    <mergeCell ref="O489:Q489"/>
    <mergeCell ref="N409:P409"/>
    <mergeCell ref="N420:R420"/>
    <mergeCell ref="N421:R421"/>
    <mergeCell ref="J411:L412"/>
    <mergeCell ref="M411:M412"/>
    <mergeCell ref="Q411:R411"/>
    <mergeCell ref="N412:P412"/>
    <mergeCell ref="Q412:R412"/>
    <mergeCell ref="M445:M446"/>
    <mergeCell ref="O445:R446"/>
    <mergeCell ref="J445:L446"/>
    <mergeCell ref="T445:U446"/>
    <mergeCell ref="S442:U443"/>
    <mergeCell ref="M439:M440"/>
    <mergeCell ref="N439:P440"/>
    <mergeCell ref="Q439:R440"/>
    <mergeCell ref="J442:L443"/>
    <mergeCell ref="M442:M443"/>
    <mergeCell ref="N442:P443"/>
    <mergeCell ref="J439:L440"/>
    <mergeCell ref="S408:U408"/>
    <mergeCell ref="J423:L424"/>
    <mergeCell ref="T363:V363"/>
    <mergeCell ref="I382:L383"/>
    <mergeCell ref="M376:M377"/>
    <mergeCell ref="M382:M383"/>
    <mergeCell ref="J396:K397"/>
    <mergeCell ref="L396:L397"/>
    <mergeCell ref="M396:Q396"/>
    <mergeCell ref="M397:Q397"/>
    <mergeCell ref="G391:I391"/>
    <mergeCell ref="K391:M391"/>
    <mergeCell ref="N391:O391"/>
    <mergeCell ref="M379:M380"/>
    <mergeCell ref="N379:P380"/>
    <mergeCell ref="Q379:R380"/>
    <mergeCell ref="S379:U380"/>
    <mergeCell ref="I376:L377"/>
    <mergeCell ref="I379:L380"/>
    <mergeCell ref="K366:L367"/>
    <mergeCell ref="M366:M367"/>
    <mergeCell ref="N367:P367"/>
    <mergeCell ref="Q367:R367"/>
    <mergeCell ref="S367:U367"/>
    <mergeCell ref="K369:L370"/>
    <mergeCell ref="N366:P366"/>
    <mergeCell ref="S366:U366"/>
    <mergeCell ref="M369:M370"/>
    <mergeCell ref="S390:T390"/>
    <mergeCell ref="U390:V390"/>
    <mergeCell ref="S376:U377"/>
    <mergeCell ref="N382:Q383"/>
    <mergeCell ref="Q376:R377"/>
    <mergeCell ref="N376:P377"/>
    <mergeCell ref="J346:L347"/>
    <mergeCell ref="M346:M347"/>
    <mergeCell ref="N351:Q351"/>
    <mergeCell ref="N352:Q352"/>
    <mergeCell ref="N346:Q347"/>
    <mergeCell ref="F334:L335"/>
    <mergeCell ref="M334:M335"/>
    <mergeCell ref="N334:P335"/>
    <mergeCell ref="J340:L341"/>
    <mergeCell ref="M340:M341"/>
    <mergeCell ref="F331:L332"/>
    <mergeCell ref="M331:M332"/>
    <mergeCell ref="N332:U332"/>
    <mergeCell ref="S354:U354"/>
    <mergeCell ref="N355:P355"/>
    <mergeCell ref="Q354:R354"/>
    <mergeCell ref="R364:S364"/>
    <mergeCell ref="T364:V364"/>
    <mergeCell ref="K357:L358"/>
    <mergeCell ref="K363:L364"/>
    <mergeCell ref="M363:M364"/>
    <mergeCell ref="N363:Q363"/>
    <mergeCell ref="N364:Q364"/>
    <mergeCell ref="K354:L355"/>
    <mergeCell ref="M354:M355"/>
    <mergeCell ref="M357:M358"/>
    <mergeCell ref="N357:P358"/>
    <mergeCell ref="N354:P354"/>
    <mergeCell ref="K351:L352"/>
    <mergeCell ref="M351:M352"/>
    <mergeCell ref="R352:S352"/>
    <mergeCell ref="T352:V352"/>
    <mergeCell ref="M321:M322"/>
    <mergeCell ref="N321:U321"/>
    <mergeCell ref="F324:L325"/>
    <mergeCell ref="M324:M325"/>
    <mergeCell ref="M328:M329"/>
    <mergeCell ref="N329:U329"/>
    <mergeCell ref="N324:P325"/>
    <mergeCell ref="R324:T325"/>
    <mergeCell ref="F328:L329"/>
    <mergeCell ref="J343:L344"/>
    <mergeCell ref="M343:M344"/>
    <mergeCell ref="N343:P344"/>
    <mergeCell ref="N331:U331"/>
    <mergeCell ref="V331:X332"/>
    <mergeCell ref="S343:U344"/>
    <mergeCell ref="N340:P341"/>
    <mergeCell ref="R334:T335"/>
    <mergeCell ref="S340:U341"/>
    <mergeCell ref="Q340:R341"/>
    <mergeCell ref="V108:W108"/>
    <mergeCell ref="O110:Q110"/>
    <mergeCell ref="V110:W110"/>
    <mergeCell ref="O113:Q113"/>
    <mergeCell ref="F142:L143"/>
    <mergeCell ref="M142:M143"/>
    <mergeCell ref="J148:L149"/>
    <mergeCell ref="AD76:AF79"/>
    <mergeCell ref="AD81:AF84"/>
    <mergeCell ref="F318:L319"/>
    <mergeCell ref="M318:M319"/>
    <mergeCell ref="N318:U318"/>
    <mergeCell ref="V328:AB329"/>
    <mergeCell ref="O303:Q303"/>
    <mergeCell ref="H315:I315"/>
    <mergeCell ref="O307:Q307"/>
    <mergeCell ref="V321:X322"/>
    <mergeCell ref="V318:AB319"/>
    <mergeCell ref="N319:U319"/>
    <mergeCell ref="F139:L140"/>
    <mergeCell ref="M139:M140"/>
    <mergeCell ref="O296:Q296"/>
    <mergeCell ref="L316:N316"/>
    <mergeCell ref="J154:L155"/>
    <mergeCell ref="M154:M155"/>
    <mergeCell ref="N154:Q155"/>
    <mergeCell ref="K176:L177"/>
    <mergeCell ref="M176:M177"/>
    <mergeCell ref="N176:P177"/>
    <mergeCell ref="N322:U322"/>
    <mergeCell ref="N328:U328"/>
    <mergeCell ref="F321:L322"/>
    <mergeCell ref="N127:U127"/>
    <mergeCell ref="V300:W300"/>
    <mergeCell ref="N139:U139"/>
    <mergeCell ref="V139:X140"/>
    <mergeCell ref="N137:U137"/>
    <mergeCell ref="S151:U152"/>
    <mergeCell ref="N140:U140"/>
    <mergeCell ref="V129:X130"/>
    <mergeCell ref="R142:T143"/>
    <mergeCell ref="M148:M149"/>
    <mergeCell ref="N148:P149"/>
    <mergeCell ref="G67:K67"/>
    <mergeCell ref="F132:L133"/>
    <mergeCell ref="N6:R6"/>
    <mergeCell ref="F136:L137"/>
    <mergeCell ref="M136:M137"/>
    <mergeCell ref="AB6:AE6"/>
    <mergeCell ref="V6:W6"/>
    <mergeCell ref="N28:O29"/>
    <mergeCell ref="J26:U26"/>
    <mergeCell ref="Q33:S34"/>
    <mergeCell ref="O33:O34"/>
    <mergeCell ref="W33:Z33"/>
    <mergeCell ref="T34:Z34"/>
    <mergeCell ref="Q21:R21"/>
    <mergeCell ref="L6:M6"/>
    <mergeCell ref="G84:K84"/>
    <mergeCell ref="N81:P84"/>
    <mergeCell ref="N130:U130"/>
    <mergeCell ref="N136:U136"/>
    <mergeCell ref="O105:Q105"/>
    <mergeCell ref="O106:Q106"/>
    <mergeCell ref="B86:E89"/>
    <mergeCell ref="G86:M86"/>
    <mergeCell ref="N86:P89"/>
    <mergeCell ref="Q86:S89"/>
    <mergeCell ref="T86:U89"/>
    <mergeCell ref="W25:X26"/>
    <mergeCell ref="Y25:AB26"/>
    <mergeCell ref="X86:AC89"/>
    <mergeCell ref="AD86:AF89"/>
    <mergeCell ref="F129:L130"/>
    <mergeCell ref="M129:M130"/>
    <mergeCell ref="N129:U129"/>
    <mergeCell ref="X6:AA6"/>
    <mergeCell ref="B6:C6"/>
    <mergeCell ref="V513:X514"/>
    <mergeCell ref="P499:R499"/>
    <mergeCell ref="V510:AB511"/>
    <mergeCell ref="L64:M64"/>
    <mergeCell ref="L66:M66"/>
    <mergeCell ref="F126:L127"/>
    <mergeCell ref="M126:M127"/>
    <mergeCell ref="N126:U126"/>
    <mergeCell ref="L68:M68"/>
    <mergeCell ref="B60:E60"/>
    <mergeCell ref="G82:K82"/>
    <mergeCell ref="L63:M63"/>
    <mergeCell ref="P115:R115"/>
    <mergeCell ref="H122:I122"/>
    <mergeCell ref="N60:P60"/>
    <mergeCell ref="B66:E70"/>
    <mergeCell ref="L69:M69"/>
    <mergeCell ref="V126:AB127"/>
    <mergeCell ref="B1:AE1"/>
    <mergeCell ref="B2:C2"/>
    <mergeCell ref="G83:K83"/>
    <mergeCell ref="G70:K70"/>
    <mergeCell ref="L67:M67"/>
    <mergeCell ref="G61:M61"/>
    <mergeCell ref="X60:AC60"/>
    <mergeCell ref="J33:N33"/>
    <mergeCell ref="X66:AC70"/>
    <mergeCell ref="Q60:S60"/>
    <mergeCell ref="H25:I26"/>
    <mergeCell ref="S6:U6"/>
    <mergeCell ref="H6:K6"/>
    <mergeCell ref="AB2:AC2"/>
    <mergeCell ref="AB3:AC3"/>
    <mergeCell ref="AB5:AE5"/>
    <mergeCell ref="AB4:AD4"/>
    <mergeCell ref="N5:R5"/>
    <mergeCell ref="T28:Y28"/>
    <mergeCell ref="J32:AE32"/>
    <mergeCell ref="J28:M29"/>
    <mergeCell ref="X76:AC79"/>
    <mergeCell ref="T74:AF74"/>
    <mergeCell ref="B74:E74"/>
    <mergeCell ref="G74:M74"/>
    <mergeCell ref="N74:P74"/>
    <mergeCell ref="Q74:S74"/>
    <mergeCell ref="B72:E72"/>
    <mergeCell ref="N72:P72"/>
    <mergeCell ref="Q72:S72"/>
    <mergeCell ref="G72:M72"/>
    <mergeCell ref="Q66:S70"/>
    <mergeCell ref="V86:W89"/>
    <mergeCell ref="F87:F88"/>
    <mergeCell ref="G87:K87"/>
    <mergeCell ref="L87:M87"/>
    <mergeCell ref="G88:K88"/>
    <mergeCell ref="L88:M88"/>
    <mergeCell ref="G89:K89"/>
    <mergeCell ref="L73:M73"/>
    <mergeCell ref="G69:K69"/>
    <mergeCell ref="L77:M77"/>
    <mergeCell ref="G78:K78"/>
    <mergeCell ref="L70:M70"/>
    <mergeCell ref="G66:K66"/>
    <mergeCell ref="F82:F83"/>
    <mergeCell ref="H33:I34"/>
    <mergeCell ref="F77:F78"/>
    <mergeCell ref="G64:K64"/>
    <mergeCell ref="F60:M60"/>
    <mergeCell ref="G68:K68"/>
    <mergeCell ref="G63:K63"/>
    <mergeCell ref="H40:I41"/>
    <mergeCell ref="J40:L40"/>
    <mergeCell ref="J41:L41"/>
    <mergeCell ref="L89:M89"/>
    <mergeCell ref="T66:U70"/>
    <mergeCell ref="L62:M62"/>
    <mergeCell ref="N66:P70"/>
    <mergeCell ref="T72:AF72"/>
  </mergeCells>
  <phoneticPr fontId="0" type="noConversion"/>
  <printOptions horizontalCentered="1"/>
  <pageMargins left="0.4" right="0.5" top="0.5" bottom="0.5" header="0.46800000000000003" footer="0.5"/>
  <pageSetup paperSize="9" scale="91" orientation="portrait" r:id="rId2"/>
  <headerFooter alignWithMargins="0">
    <oddFooter>&amp;L          bmr/electrical design consultant/file&amp;C&amp;"Times New Roman,Regular"                     EE - &amp;P&amp;R&amp;D   &amp;T</oddFooter>
  </headerFooter>
  <rowBreaks count="1" manualBreakCount="1">
    <brk id="57" max="16383" man="1"/>
  </rowBreaks>
  <drawing r:id="rId3"/>
  <extLst>
    <ext xmlns:x14="http://schemas.microsoft.com/office/spreadsheetml/2009/9/main" uri="{CCE6A557-97BC-4b89-ADB6-D9C93CAAB3DF}">
      <x14:dataValidations xmlns:xm="http://schemas.microsoft.com/office/excel/2006/main" xWindow="482" yWindow="703" count="6">
        <x14:dataValidation type="list" allowBlank="1" showInputMessage="1" showErrorMessage="1" prompt="% ZTR = 4 for 300KVA_x000a_% ZTR = 5 for 500KVA_x000a_% ZTR = 6 for 1000KVA_x000a_% ZTR = 6 for 1500KVA">
          <x14:formula1>
            <xm:f>DATA_BASE!$M$6:$M$9</xm:f>
          </x14:formula1>
          <xm:sqref>L67:M67</xm:sqref>
        </x14:dataValidation>
        <x14:dataValidation type="list" allowBlank="1" showInputMessage="1" showErrorMessage="1" prompt="Losses=3200 (for 300KVA)_x000a_Losses=4700 (for 500KVA)_x000a_Losses=9000 (for 1000KVA)_x000a_Losses=14000 (for 1500KVA)">
          <x14:formula1>
            <xm:f>DATA_BASE!$L$6:$L$9</xm:f>
          </x14:formula1>
          <xm:sqref>L69:M69</xm:sqref>
        </x14:dataValidation>
        <x14:dataValidation type="list" allowBlank="1" showInputMessage="1" showErrorMessage="1">
          <x14:formula1>
            <xm:f>DATA_BASE!$H$7:$H$27</xm:f>
          </x14:formula1>
          <xm:sqref>AD61:AF64 AD66:AF70 AD81:AF84 AD86:AF89 AD91:AF94</xm:sqref>
        </x14:dataValidation>
        <x14:dataValidation type="list" allowBlank="1" showInputMessage="1" showErrorMessage="1">
          <x14:formula1>
            <xm:f>DATA_BASE!$H$7:$H$26</xm:f>
          </x14:formula1>
          <xm:sqref>AD76:AF79</xm:sqref>
        </x14:dataValidation>
        <x14:dataValidation type="list" allowBlank="1" showInputMessage="1" showErrorMessage="1">
          <x14:formula1>
            <xm:f>DATA_BASE!$E$6:$E$24</xm:f>
          </x14:formula1>
          <xm:sqref>L66:M66</xm:sqref>
        </x14:dataValidation>
        <x14:dataValidation type="list" allowBlank="1" showInputMessage="1" showErrorMessage="1">
          <x14:formula1>
            <xm:f>DATA_BASE!$C$6:$C$18</xm:f>
          </x14:formula1>
          <xm:sqref>L77:M77 L82:M82 L87:M87 L92:M92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B3:O37"/>
  <sheetViews>
    <sheetView topLeftCell="B5" zoomScale="130" zoomScaleNormal="130" workbookViewId="0">
      <selection activeCell="K23" sqref="K23"/>
    </sheetView>
  </sheetViews>
  <sheetFormatPr defaultRowHeight="12.75"/>
  <cols>
    <col min="11" max="11" width="11.42578125" customWidth="1"/>
  </cols>
  <sheetData>
    <row r="3" spans="2:1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5" ht="27" customHeight="1">
      <c r="B4" s="1"/>
      <c r="C4" s="257" t="s">
        <v>294</v>
      </c>
      <c r="D4" s="1"/>
      <c r="E4" s="257" t="s">
        <v>302</v>
      </c>
      <c r="F4" s="1"/>
      <c r="G4" s="1"/>
      <c r="H4" s="255" t="s">
        <v>303</v>
      </c>
      <c r="I4" s="256"/>
      <c r="J4" s="1"/>
      <c r="K4" s="258" t="s">
        <v>308</v>
      </c>
      <c r="L4" s="259"/>
      <c r="M4" s="259"/>
      <c r="N4" s="259"/>
      <c r="O4" s="259"/>
    </row>
    <row r="5" spans="2:15" ht="25.5" customHeight="1">
      <c r="B5" s="1"/>
      <c r="C5" s="95" t="s">
        <v>295</v>
      </c>
      <c r="D5" s="1"/>
      <c r="E5" s="96" t="s">
        <v>296</v>
      </c>
      <c r="F5" s="1"/>
      <c r="G5" s="1"/>
      <c r="H5" s="251" t="s">
        <v>305</v>
      </c>
      <c r="I5" s="252"/>
      <c r="J5" s="87"/>
      <c r="K5" s="98" t="s">
        <v>266</v>
      </c>
      <c r="L5" s="98" t="s">
        <v>171</v>
      </c>
      <c r="M5" s="98" t="s">
        <v>306</v>
      </c>
      <c r="N5" s="98" t="s">
        <v>267</v>
      </c>
      <c r="O5" s="98" t="s">
        <v>307</v>
      </c>
    </row>
    <row r="6" spans="2:15">
      <c r="B6" s="1"/>
      <c r="C6" s="88">
        <v>10</v>
      </c>
      <c r="D6" s="1"/>
      <c r="E6" s="88">
        <v>50</v>
      </c>
      <c r="F6" s="1"/>
      <c r="G6" s="1"/>
      <c r="H6" s="92" t="s">
        <v>249</v>
      </c>
      <c r="I6" s="88" t="s">
        <v>285</v>
      </c>
      <c r="J6" s="87"/>
      <c r="K6" s="97">
        <v>300</v>
      </c>
      <c r="L6" s="97">
        <v>3200</v>
      </c>
      <c r="M6" s="97">
        <v>4</v>
      </c>
      <c r="N6" s="97">
        <v>25</v>
      </c>
      <c r="O6" s="97">
        <v>2</v>
      </c>
    </row>
    <row r="7" spans="2:15">
      <c r="B7" s="1"/>
      <c r="C7" s="88">
        <v>16</v>
      </c>
      <c r="D7" s="1"/>
      <c r="E7" s="88">
        <v>100</v>
      </c>
      <c r="F7" s="1"/>
      <c r="G7" s="1"/>
      <c r="H7" s="89">
        <v>10</v>
      </c>
      <c r="I7" s="89" t="s">
        <v>286</v>
      </c>
      <c r="J7" s="87"/>
      <c r="K7" s="97">
        <v>500</v>
      </c>
      <c r="L7" s="97">
        <v>4700</v>
      </c>
      <c r="M7" s="97">
        <v>5</v>
      </c>
      <c r="N7" s="97">
        <v>25</v>
      </c>
      <c r="O7" s="97">
        <v>2</v>
      </c>
    </row>
    <row r="8" spans="2:15">
      <c r="B8" s="1"/>
      <c r="C8" s="88">
        <v>25</v>
      </c>
      <c r="D8" s="1"/>
      <c r="E8" s="88">
        <v>160</v>
      </c>
      <c r="F8" s="1"/>
      <c r="G8" s="1"/>
      <c r="H8" s="89">
        <v>14</v>
      </c>
      <c r="I8" s="89" t="s">
        <v>287</v>
      </c>
      <c r="J8" s="87"/>
      <c r="K8" s="97">
        <v>1000</v>
      </c>
      <c r="L8" s="97">
        <v>9000</v>
      </c>
      <c r="M8" s="97">
        <v>6</v>
      </c>
      <c r="N8" s="97">
        <v>25</v>
      </c>
      <c r="O8" s="97">
        <v>2</v>
      </c>
    </row>
    <row r="9" spans="2:15">
      <c r="B9" s="1"/>
      <c r="C9" s="88">
        <v>35</v>
      </c>
      <c r="D9" s="1"/>
      <c r="E9" s="88">
        <v>200</v>
      </c>
      <c r="F9" s="1"/>
      <c r="G9" s="1"/>
      <c r="H9" s="89">
        <v>15</v>
      </c>
      <c r="I9" s="89" t="s">
        <v>286</v>
      </c>
      <c r="J9" s="87"/>
      <c r="K9" s="97">
        <v>1500</v>
      </c>
      <c r="L9" s="97">
        <v>14000</v>
      </c>
      <c r="M9" s="97">
        <v>6</v>
      </c>
      <c r="N9" s="97">
        <v>40</v>
      </c>
      <c r="O9" s="97">
        <v>4</v>
      </c>
    </row>
    <row r="10" spans="2:15">
      <c r="B10" s="1"/>
      <c r="C10" s="88">
        <v>50</v>
      </c>
      <c r="D10" s="1"/>
      <c r="E10" s="88">
        <v>250</v>
      </c>
      <c r="F10" s="1"/>
      <c r="G10" s="1"/>
      <c r="H10" s="89">
        <v>18</v>
      </c>
      <c r="I10" s="89" t="s">
        <v>286</v>
      </c>
      <c r="J10" s="87"/>
      <c r="K10" s="1"/>
    </row>
    <row r="11" spans="2:15">
      <c r="B11" s="1"/>
      <c r="C11" s="88">
        <v>70</v>
      </c>
      <c r="D11" s="1"/>
      <c r="E11" s="88">
        <v>300</v>
      </c>
      <c r="F11" s="1"/>
      <c r="G11" s="1"/>
      <c r="H11" s="89">
        <v>21</v>
      </c>
      <c r="I11" s="89" t="s">
        <v>297</v>
      </c>
      <c r="J11" s="87"/>
      <c r="K11" s="1"/>
    </row>
    <row r="12" spans="2:15">
      <c r="B12" s="1"/>
      <c r="C12" s="88">
        <v>95</v>
      </c>
      <c r="D12" s="1"/>
      <c r="E12" s="88">
        <v>315</v>
      </c>
      <c r="F12" s="1"/>
      <c r="G12" s="1"/>
      <c r="H12" s="89">
        <v>22</v>
      </c>
      <c r="I12" s="89" t="s">
        <v>288</v>
      </c>
      <c r="J12" s="87"/>
      <c r="K12" s="1"/>
    </row>
    <row r="13" spans="2:15">
      <c r="B13" s="1"/>
      <c r="C13" s="88">
        <v>120</v>
      </c>
      <c r="D13" s="1"/>
      <c r="E13" s="88">
        <v>400</v>
      </c>
      <c r="F13" s="1"/>
      <c r="G13" s="1"/>
      <c r="H13" s="89">
        <v>25</v>
      </c>
      <c r="I13" s="89" t="s">
        <v>297</v>
      </c>
      <c r="J13" s="87"/>
      <c r="K13" s="1"/>
    </row>
    <row r="14" spans="2:15">
      <c r="B14" s="1"/>
      <c r="C14" s="88">
        <v>150</v>
      </c>
      <c r="D14" s="1"/>
      <c r="E14" s="88">
        <v>500</v>
      </c>
      <c r="F14" s="1"/>
      <c r="G14" s="1"/>
      <c r="H14" s="89">
        <v>30</v>
      </c>
      <c r="I14" s="89" t="s">
        <v>289</v>
      </c>
      <c r="J14" s="87"/>
      <c r="K14" s="1"/>
    </row>
    <row r="15" spans="2:15">
      <c r="B15" s="1"/>
      <c r="C15" s="88">
        <v>185</v>
      </c>
      <c r="D15" s="1"/>
      <c r="E15" s="88">
        <v>630</v>
      </c>
      <c r="F15" s="1"/>
      <c r="G15" s="1"/>
      <c r="H15" s="89">
        <v>35</v>
      </c>
      <c r="I15" s="89" t="s">
        <v>289</v>
      </c>
      <c r="J15" s="87"/>
      <c r="K15" s="1"/>
    </row>
    <row r="16" spans="2:15">
      <c r="B16" s="1"/>
      <c r="C16" s="88">
        <v>240</v>
      </c>
      <c r="D16" s="1"/>
      <c r="E16" s="88">
        <v>800</v>
      </c>
      <c r="F16" s="1"/>
      <c r="G16" s="1"/>
      <c r="H16" s="89">
        <v>40</v>
      </c>
      <c r="I16" s="89" t="s">
        <v>297</v>
      </c>
      <c r="J16" s="87"/>
      <c r="K16" s="1"/>
    </row>
    <row r="17" spans="2:11">
      <c r="B17" s="1"/>
      <c r="C17" s="88">
        <v>300</v>
      </c>
      <c r="D17" s="1"/>
      <c r="E17" s="88">
        <v>1000</v>
      </c>
      <c r="F17" s="1"/>
      <c r="G17" s="1"/>
      <c r="H17" s="89">
        <v>42</v>
      </c>
      <c r="I17" s="89" t="s">
        <v>288</v>
      </c>
      <c r="J17" s="87"/>
      <c r="K17" s="1"/>
    </row>
    <row r="18" spans="2:11">
      <c r="B18" s="1"/>
      <c r="C18" s="88">
        <v>630</v>
      </c>
      <c r="D18" s="1"/>
      <c r="E18" s="88">
        <v>1250</v>
      </c>
      <c r="F18" s="1"/>
      <c r="G18" s="1"/>
      <c r="H18" s="89">
        <v>50</v>
      </c>
      <c r="I18" s="89" t="s">
        <v>289</v>
      </c>
      <c r="J18" s="87"/>
      <c r="K18" s="1"/>
    </row>
    <row r="19" spans="2:11">
      <c r="B19" s="1"/>
      <c r="C19" s="253"/>
      <c r="D19" s="1"/>
      <c r="E19" s="88">
        <v>1500</v>
      </c>
      <c r="F19" s="1"/>
      <c r="G19" s="1"/>
      <c r="H19" s="89">
        <v>60</v>
      </c>
      <c r="I19" s="89" t="s">
        <v>290</v>
      </c>
      <c r="J19" s="87"/>
      <c r="K19" s="1"/>
    </row>
    <row r="20" spans="2:11">
      <c r="B20" s="1"/>
      <c r="C20" s="254"/>
      <c r="D20" s="1"/>
      <c r="E20" s="88">
        <v>1600</v>
      </c>
      <c r="F20" s="1"/>
      <c r="G20" s="1"/>
      <c r="H20" s="89">
        <v>65</v>
      </c>
      <c r="I20" s="89" t="s">
        <v>289</v>
      </c>
      <c r="J20" s="87"/>
      <c r="K20" s="1"/>
    </row>
    <row r="21" spans="2:11">
      <c r="B21" s="1"/>
      <c r="C21" s="254"/>
      <c r="D21" s="1"/>
      <c r="E21" s="88">
        <v>2000</v>
      </c>
      <c r="F21" s="1"/>
      <c r="G21" s="1"/>
      <c r="H21" s="89">
        <v>70</v>
      </c>
      <c r="I21" s="89" t="s">
        <v>291</v>
      </c>
      <c r="J21" s="87"/>
      <c r="K21" s="1"/>
    </row>
    <row r="22" spans="2:11">
      <c r="B22" s="11"/>
      <c r="C22" s="254"/>
      <c r="D22" s="1"/>
      <c r="E22" s="88">
        <v>2500</v>
      </c>
      <c r="F22" s="1"/>
      <c r="G22" s="1"/>
      <c r="H22" s="89">
        <v>75</v>
      </c>
      <c r="I22" s="89" t="s">
        <v>291</v>
      </c>
      <c r="J22" s="87"/>
      <c r="K22" s="1"/>
    </row>
    <row r="23" spans="2:11">
      <c r="B23" s="1"/>
      <c r="C23" s="254"/>
      <c r="D23" s="1"/>
      <c r="E23" s="88">
        <v>3150</v>
      </c>
      <c r="F23" s="1"/>
      <c r="G23" s="1"/>
      <c r="H23" s="89">
        <v>85</v>
      </c>
      <c r="I23" s="89" t="s">
        <v>286</v>
      </c>
      <c r="J23" s="87"/>
      <c r="K23" s="1"/>
    </row>
    <row r="24" spans="2:11">
      <c r="B24" s="11"/>
      <c r="C24" s="254"/>
      <c r="D24" s="1"/>
      <c r="E24" s="90">
        <v>4000</v>
      </c>
      <c r="F24" s="1"/>
      <c r="G24" s="1"/>
      <c r="H24" s="89">
        <v>100</v>
      </c>
      <c r="I24" s="89" t="s">
        <v>288</v>
      </c>
      <c r="J24" s="87"/>
      <c r="K24" s="1"/>
    </row>
    <row r="25" spans="2:11">
      <c r="B25" s="1"/>
      <c r="C25" s="1"/>
      <c r="D25" s="1"/>
      <c r="E25" s="1"/>
      <c r="F25" s="1"/>
      <c r="G25" s="1"/>
      <c r="H25" s="89">
        <v>125</v>
      </c>
      <c r="I25" s="89" t="s">
        <v>292</v>
      </c>
      <c r="J25" s="87"/>
      <c r="K25" s="1"/>
    </row>
    <row r="26" spans="2:11">
      <c r="B26" s="1"/>
      <c r="C26" s="11"/>
      <c r="D26" s="11"/>
      <c r="E26" s="11"/>
      <c r="F26" s="11"/>
      <c r="G26" s="11"/>
      <c r="H26" s="89">
        <v>130</v>
      </c>
      <c r="I26" s="89" t="s">
        <v>291</v>
      </c>
      <c r="J26" s="91"/>
      <c r="K26" s="11"/>
    </row>
    <row r="27" spans="2:11">
      <c r="B27" s="1"/>
      <c r="C27" s="1"/>
      <c r="D27" s="1"/>
      <c r="E27" s="1"/>
      <c r="F27" s="1"/>
      <c r="G27" s="1"/>
      <c r="H27" s="89">
        <v>150</v>
      </c>
      <c r="I27" s="89" t="s">
        <v>291</v>
      </c>
      <c r="J27" s="1"/>
      <c r="K27" s="1"/>
    </row>
    <row r="28" spans="2:11">
      <c r="B28" s="1"/>
      <c r="C28" s="11"/>
      <c r="D28" s="11"/>
      <c r="E28" s="11"/>
      <c r="F28" s="11"/>
      <c r="G28" s="11"/>
      <c r="H28" s="86" t="s">
        <v>293</v>
      </c>
      <c r="J28" s="1"/>
      <c r="K28" s="11"/>
    </row>
    <row r="29" spans="2:1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B31" s="1"/>
    </row>
    <row r="32" spans="2:11" ht="12.75" customHeight="1">
      <c r="B32" s="1"/>
    </row>
    <row r="33" spans="2:11">
      <c r="B33" s="1"/>
    </row>
    <row r="34" spans="2:11">
      <c r="B34" s="1"/>
    </row>
    <row r="35" spans="2:11">
      <c r="B35" s="1"/>
    </row>
    <row r="36" spans="2:11">
      <c r="B36" s="1"/>
    </row>
    <row r="37" spans="2:11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mergeCells count="4">
    <mergeCell ref="H4:I4"/>
    <mergeCell ref="H5:I5"/>
    <mergeCell ref="C19:C24"/>
    <mergeCell ref="K4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CIRCUIT CAL_ORIGINAL</vt:lpstr>
      <vt:lpstr>DATA_BASE</vt:lpstr>
      <vt:lpstr>'SHORT CIRCUIT CAL_ORIGINAL'!Print_Area</vt:lpstr>
      <vt:lpstr>'SHORT CIRCUIT CAL_ORIGINAL'!Print_Titles</vt:lpstr>
    </vt:vector>
  </TitlesOfParts>
  <Manager>BMR_Electrical Design Consultant</Manager>
  <Company>Design Consultant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Design Department_Electrical</dc:title>
  <dc:subject>Short-circuit current calculations</dc:subject>
  <dc:creator>bmr_Electrical Design Consultant</dc:creator>
  <cp:keywords>As per  IEC - 60909</cp:keywords>
  <dc:description>Do not touch red digits. _x000d_
Blue digits=Input_x000d_
Red digits=Output</dc:description>
  <cp:lastModifiedBy>elec.rashad</cp:lastModifiedBy>
  <cp:lastPrinted>2018-01-02T13:28:09Z</cp:lastPrinted>
  <dcterms:created xsi:type="dcterms:W3CDTF">2009-05-02T11:05:27Z</dcterms:created>
  <dcterms:modified xsi:type="dcterms:W3CDTF">2019-02-17T07:58:01Z</dcterms:modified>
  <cp:category>Bldg. Services &amp; Infrastructure Design</cp:category>
</cp:coreProperties>
</file>